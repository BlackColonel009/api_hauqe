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fb90feb5041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he de présence" sheetId="3" r:id="Rc8cd382d75c3452e"/>
    <x:sheet xmlns:r="http://schemas.openxmlformats.org/officeDocument/2006/relationships" name="Listen" sheetId="4" r:id="Ra06889114a8247cb"/>
  </x:sheets>
  <x:definedNames>
    <x:definedName name="AnzTage">Listen!$G$6</x:definedName>
    <x:definedName name="Jahre">Listen!$E$5:$E$20</x:definedName>
    <x:definedName name="Monate">Listen!$C$5:$C$17</x:definedName>
  </x:definedNames>
</x:workbook>
</file>

<file path=xl/sharedStrings.xml><?xml version="1.0" encoding="utf-8"?>
<x:sst xmlns:x="http://schemas.openxmlformats.org/spreadsheetml/2006/main">
  <x:si>
    <x:t xml:space="preserve">
Fiche de présence</x:t>
  </x:si>
  <x:si>
    <x:t xml:space="preserve">Numéro de contrat :</x:t>
  </x:si>
  <x:si>
    <x:t xml:space="preserve">Numéro de projet :</x:t>
  </x:si>
  <x:si>
    <x:t xml:space="preserve">Contractant :</x:t>
  </x:si>
  <x:si>
    <x:t xml:space="preserve">GFA Consulting Group GmbH</x:t>
  </x:si>
  <x:si>
    <x:t xml:space="preserve">GFA Centre de coûts:</x:t>
  </x:si>
  <x:si>
    <x:t xml:space="preserve">Nom de l'expert(e) :</x:t>
  </x:si>
  <x:si>
    <x:t xml:space="preserve">Rôle / Fonction :</x:t>
  </x:si>
  <x:si>
    <x:t xml:space="preserve">Mois:</x:t>
  </x:si>
  <x:si>
    <x:t xml:space="preserve">Année:</x:t>
  </x:si>
  <x:si>
    <x:t xml:space="preserve"> Date</x:t>
  </x:si>
  <x:si>
    <x:t xml:space="preserve"> Jours de travail</x:t>
  </x:si>
  <x:si>
    <x:t xml:space="preserve"> Frais liés à la mission sur le terrain</x:t>
  </x:si>
  <x:si>
    <x:t xml:space="preserve">Indemnité journalière</x:t>
  </x:si>
  <x:si>
    <x:t xml:space="preserve"> Indemnité d'hébergement</x:t>
  </x:si>
  <x:si>
    <x:t xml:space="preserve">Lieu</x:t>
  </x:si>
  <x:si>
    <x:t xml:space="preserve">Activités / Thèmes / Résultats</x:t>
  </x:si>
  <x:si>
    <x:t xml:space="preserve">Total</x:t>
  </x:si>
  <x:si>
    <x:t xml:space="preserve">Je certifie par la présente que les informations ci-dessus sont correctes.</x:t>
  </x:si>
  <x:si>
    <x:t xml:space="preserve">Expert(e) (Date et signature)</x:t>
  </x:si>
  <x:si>
    <x:t xml:space="preserve">Coordinateur de Mission GFA (Date et signature)</x:t>
  </x:si>
  <x:si>
    <x:t xml:space="preserve">Remarques:</x:t>
  </x:si>
  <x:si>
    <x:t xml:space="preserve">• Jours de travail voir numéro 3.3.1 AVB 2020</x:t>
  </x:si>
  <x:si>
    <x:t xml:space="preserve">• Frais liés à la mission sur le terrain voir numéro 3.3.2 AVB 2020</x:t>
  </x:si>
  <x:si>
    <x:t xml:space="preserve">• Indemnité journalière voir numéro 3.3.4.2 AVB 2020</x:t>
  </x:si>
  <x:si>
    <x:t xml:space="preserve">• Indemnité d'hébergement voir numéro 3.3.4.3 AVB 2020</x:t>
  </x:si>
  <x:si>
    <x:t xml:space="preserve">Monate</x:t>
  </x:si>
  <x:si>
    <x:t xml:space="preserve">Jahre</x:t>
  </x:si>
  <x:si>
    <x:t xml:space="preserve">Datum</x:t>
  </x:si>
  <x:si>
    <x:t xml:space="preserve">sélectionner</x:t>
  </x:si>
  <x:si>
    <x:t xml:space="preserve">Janvier</x:t>
  </x:si>
  <x:si>
    <x:t xml:space="preserve">Januar</x:t>
  </x:si>
  <x:si>
    <x:t xml:space="preserve">Février</x:t>
  </x:si>
  <x:si>
    <x:t xml:space="preserve">Februar</x:t>
  </x:si>
  <x:si>
    <x:t xml:space="preserve">Mars</x:t>
  </x:si>
  <x:si>
    <x:t xml:space="preserve">März</x:t>
  </x:si>
  <x:si>
    <x:t xml:space="preserve">Avril</x:t>
  </x:si>
  <x:si>
    <x:t xml:space="preserve">April</x:t>
  </x:si>
  <x:si>
    <x:t xml:space="preserve">Mai</x:t>
  </x:si>
  <x:si>
    <x:t xml:space="preserve">Juin</x:t>
  </x:si>
  <x:si>
    <x:t xml:space="preserve">Juni</x:t>
  </x:si>
  <x:si>
    <x:t xml:space="preserve">Juillet</x:t>
  </x:si>
  <x:si>
    <x:t xml:space="preserve">Juli</x:t>
  </x:si>
  <x:si>
    <x:t xml:space="preserve">Août</x:t>
  </x:si>
  <x:si>
    <x:t xml:space="preserve">August</x:t>
  </x:si>
  <x:si>
    <x:t xml:space="preserve">Septembre</x:t>
  </x:si>
  <x:si>
    <x:t xml:space="preserve">September</x:t>
  </x:si>
  <x:si>
    <x:t xml:space="preserve">Octobre</x:t>
  </x:si>
  <x:si>
    <x:t xml:space="preserve">Oktober</x:t>
  </x:si>
  <x:si>
    <x:t xml:space="preserve">Novembre</x:t>
  </x:si>
  <x:si>
    <x:t xml:space="preserve">November</x:t>
  </x:si>
  <x:si>
    <x:t xml:space="preserve">Decembre</x:t>
  </x:si>
  <x:si>
    <x:t xml:space="preserve">Dezember</x:t>
  </x:si>
</x:sst>
</file>

<file path=xl/styles.xml><?xml version="1.0" encoding="utf-8"?>
<x:styleSheet xmlns:x="http://schemas.openxmlformats.org/spreadsheetml/2006/main">
  <x:numFmts count="3">
    <x:numFmt numFmtId="164" formatCode="#,##0.00;\-#,##0.00;\-"/>
    <x:numFmt numFmtId="165" formatCode="#,##0;\-#,##0;\-"/>
    <x:numFmt numFmtId="166" formatCode="0.0"/>
  </x:numFmts>
  <x:fonts count="15">
    <x:font>
      <x:sz val="9"/>
      <x:color theme="1"/>
      <x:name val="Arial"/>
    </x:font>
    <x:font>
      <x:b/>
      <x:sz val="14"/>
      <x:color theme="1"/>
      <x:name val="Arial"/>
    </x:font>
    <x:font>
      <x:sz val="11"/>
      <x:name val="Arial"/>
    </x:font>
    <x:font>
      <x:sz val="9"/>
      <x:color theme="1"/>
      <x:name val="Arial"/>
    </x:font>
    <x:font>
      <x:b/>
      <x:sz val="9"/>
      <x:color theme="1"/>
      <x:name val="Arial"/>
    </x:font>
    <x:font>
      <x:sz val="1"/>
      <x:color theme="1"/>
      <x:name val="Arial"/>
    </x:font>
    <x:font>
      <x:sz val="9"/>
      <x:name val="Arial"/>
    </x:font>
    <x:font>
      <x:i/>
      <x:sz val="8"/>
      <x:color theme="3"/>
      <x:name val="Arial"/>
    </x:font>
    <x:font>
      <x:sz val="8"/>
      <x:name val="Arial"/>
    </x:font>
    <x:font>
      <x:b/>
      <x:sz val="9"/>
      <x:color theme="0"/>
      <x:name val="Arial"/>
    </x:font>
    <x:font>
      <x:b/>
      <x:sz val="9"/>
      <x:color rgb="FF000000"/>
      <x:name val="Arial"/>
    </x:font>
    <x:font>
      <x:i/>
      <x:sz val="9"/>
      <x:color theme="1"/>
      <x:name val="Arial"/>
    </x:font>
    <x:font>
      <x:sz val="6"/>
      <x:color theme="1"/>
      <x:name val="Arial"/>
    </x:font>
    <x:font>
      <x:sz val="7"/>
      <x:color theme="1"/>
      <x:name val="Arial"/>
    </x:font>
    <x:font>
      <x:sz val="9"/>
      <x:color theme="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theme="2"/>
      </x:patternFill>
    </x:fill>
    <x:fill>
      <x:patternFill patternType="solid">
        <x:fgColor rgb="FFF8F8F8"/>
      </x:patternFill>
    </x:fill>
    <x:fill>
      <x:patternFill patternType="solid">
        <x:fgColor theme="3"/>
      </x:patternFill>
    </x:fill>
    <x:fill>
      <x:patternFill patternType="solid">
        <x:fgColor rgb="FFEAEAEA"/>
      </x:patternFill>
    </x:fill>
    <x:fill>
      <x:patternFill patternType="solid">
        <x:fgColor rgb="FFFEF7E6"/>
      </x:patternFill>
    </x:fill>
  </x:fills>
  <x:borders count="7">
    <x:border/>
    <x:border>
      <x:left style="thick">
        <x:color theme="0"/>
      </x:left>
      <x:right style="thick">
        <x:color theme="0"/>
      </x:right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theme="1"/>
      </x:left>
      <x:right style="hair">
        <x:color theme="1"/>
      </x:right>
      <x:top style="hair">
        <x:color theme="1"/>
      </x:top>
      <x:bottom style="hair">
        <x:color theme="1"/>
      </x:bottom>
    </x:border>
    <x:border>
      <x:bottom style="thin">
        <x:color indexed="64"/>
      </x:bottom>
    </x:border>
    <x:border>
      <x:left style="thick">
        <x:color rgb="FFFFFFFF"/>
      </x:left>
      <x:bottom style="thin">
        <x:color rgb="FFFFFFF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2">
    <x:xf numFmtId="0" fontId="0" fillId="0" borderId="0">
      <x:alignment vertical="center"/>
    </x:xf>
    <x:xf numFmtId="0" fontId="4" fillId="2" borderId="1" applyNumberFormat="0" applyProtection="0">
      <x:alignment horizontal="center" vertical="center" wrapText="1"/>
    </x:xf>
    <x:xf numFmtId="0" fontId="9" fillId="4" borderId="0" applyNumberFormat="0" applyAlignment="0" applyProtection="0"/>
    <x:xf numFmtId="0" fontId="4" fillId="0" borderId="0" applyNumberFormat="0" applyFill="0" applyBorder="0" applyAlignment="0" applyProtection="0"/>
    <x:xf numFmtId="0" fontId="7" fillId="0" borderId="0" applyNumberFormat="0" applyFill="0" applyBorder="0" applyAlignment="0" applyProtection="0"/>
    <x:xf numFmtId="0" fontId="2" fillId="3" borderId="0" applyNumberFormat="0" applyBorder="0">
      <x:alignment vertical="center" shrinkToFit="1"/>
      <x:protection locked="0"/>
    </x:xf>
    <x:xf numFmtId="0" fontId="3" fillId="0" borderId="2" applyNumberFormat="0">
      <x:alignment vertical="center" wrapText="1"/>
    </x:xf>
    <x:xf numFmtId="0" fontId="6" fillId="6" borderId="3" applyNumberFormat="0">
      <x:alignment vertical="center" shrinkToFit="1"/>
      <x:protection locked="0"/>
    </x:xf>
    <x:xf numFmtId="4" fontId="6" fillId="6" borderId="3">
      <x:alignment vertical="center" shrinkToFit="1"/>
      <x:protection locked="0"/>
    </x:xf>
    <x:xf numFmtId="49" fontId="6" fillId="6" borderId="3">
      <x:alignment vertical="center" wrapText="1"/>
      <x:protection locked="0"/>
    </x:xf>
    <x:xf numFmtId="164" fontId="3" fillId="0" borderId="2" applyFont="0" applyFill="0" applyAlignment="0" applyProtection="0"/>
    <x:xf numFmtId="0" fontId="4" fillId="0" borderId="4" applyNumberFormat="0" applyFill="0" applyAlignment="0" applyProtection="0"/>
  </x:cellStyleXfs>
  <x:cellXfs count="31">
    <x:xf numFmtId="0" fontId="0" fillId="0" borderId="0" xfId="0">
      <x:alignment vertical="center"/>
    </x:xf>
    <x:xf numFmtId="0" fontId="5" fillId="0" borderId="0" xfId="0" applyFont="1">
      <x:alignment vertical="center"/>
    </x:xf>
    <x:xf numFmtId="49" fontId="5" fillId="0" borderId="0" xfId="0" applyNumberFormat="1" applyFont="1">
      <x:alignment vertical="center"/>
    </x:xf>
    <x:xf numFmtId="14" fontId="5" fillId="0" borderId="0" xfId="0" applyNumberFormat="1" applyFont="1">
      <x:alignment vertical="center"/>
    </x:xf>
    <x:xf numFmtId="49" fontId="0" fillId="0" borderId="0" xfId="0" applyNumberFormat="1">
      <x:alignment vertical="center"/>
    </x:xf>
    <x:xf numFmtId="165" fontId="0" fillId="0" borderId="2" xfId="10" applyNumberFormat="1" applyFont="1" applyAlignment="1">
      <x:alignment horizontal="center" vertical="center"/>
    </x:xf>
    <x:xf numFmtId="0" fontId="10" fillId="5" borderId="5" xfId="3" applyFont="1" applyFill="1" applyBorder="1" applyAlignment="1">
      <x:alignment horizontal="center" vertical="center" wrapText="1"/>
    </x:xf>
    <x:xf numFmtId="0" fontId="4" fillId="0" borderId="0" xfId="0" applyFont="1">
      <x:alignment vertical="center"/>
    </x:xf>
    <x:xf numFmtId="0" fontId="3" fillId="6" borderId="0" xfId="5" applyNumberFormat="1" applyFont="1" applyFill="1" applyAlignment="1">
      <x:alignment horizontal="center" vertical="center"/>
    </x:xf>
    <x:xf numFmtId="0" fontId="11" fillId="0" borderId="0" xfId="0" applyFont="1">
      <x:alignment vertical="center"/>
    </x:xf>
    <x:xf numFmtId="0" fontId="12" fillId="0" borderId="0" xfId="0" applyFont="1">
      <x:alignment vertical="center"/>
    </x:xf>
    <x:xf numFmtId="49" fontId="12" fillId="0" borderId="0" xfId="0" applyNumberFormat="1" applyFont="1">
      <x:alignment vertical="center"/>
    </x:xf>
    <x:xf numFmtId="0" fontId="10" fillId="5" borderId="5" xfId="3" applyFont="1" applyFill="1" applyBorder="1" applyAlignment="1">
      <x:alignment horizontal="center" wrapText="1"/>
    </x:xf>
    <x:xf numFmtId="49" fontId="6" fillId="6" borderId="3" xfId="9">
      <x:alignment vertical="center" wrapText="1"/>
    </x:xf>
    <x:xf numFmtId="0" fontId="13" fillId="0" borderId="0" xfId="0" applyFont="1">
      <x:alignment vertical="center"/>
    </x:xf>
    <x:xf numFmtId="0" fontId="4" fillId="0" borderId="4" xfId="11" applyAlignment="1">
      <x:alignment vertical="center"/>
    </x:xf>
    <x:xf numFmtId="0" fontId="0" fillId="0" borderId="6" xfId="0" applyBorder="1">
      <x:alignment vertical="center"/>
    </x:xf>
    <x:xf numFmtId="166" fontId="6" fillId="6" borderId="3" xfId="7" applyNumberFormat="1" applyAlignment="1">
      <x:alignment horizontal="center"/>
    </x:xf>
    <x:xf numFmtId="166" fontId="13" fillId="0" borderId="0" xfId="0" applyNumberFormat="1" applyFont="1">
      <x:alignment vertical="center"/>
    </x:xf>
    <x:xf numFmtId="166" fontId="4" fillId="0" borderId="4" xfId="11" applyNumberFormat="1" applyAlignment="1">
      <x:alignment horizontal="center" vertical="center"/>
    </x:xf>
    <x:xf numFmtId="166" fontId="4" fillId="0" borderId="4" xfId="11" applyNumberFormat="1" applyAlignment="1">
      <x:alignment vertical="center"/>
    </x:xf>
    <x:xf numFmtId="0" fontId="14" fillId="0" borderId="0" xfId="0" applyFont="1">
      <x:alignment vertical="center"/>
    </x:xf>
    <x:xf numFmtId="49" fontId="0" fillId="6" borderId="0" xfId="5" applyNumberFormat="1" applyFont="1" applyFill="1" applyAlignment="1">
      <x:alignment vertical="center"/>
    </x:xf>
    <x:xf numFmtId="49" fontId="3" fillId="6" borderId="0" xfId="5" applyNumberFormat="1" applyFont="1" applyFill="1" applyAlignment="1">
      <x:alignment vertical="center"/>
    </x:xf>
    <x:xf numFmtId="49" fontId="0" fillId="6" borderId="0" xfId="5" applyNumberFormat="1" applyFont="1" applyFill="1" applyAlignment="1">
      <x:alignment horizontal="left" vertical="center"/>
    </x:xf>
    <x:xf numFmtId="49" fontId="3" fillId="6" borderId="0" xfId="5" applyNumberFormat="1" applyFont="1" applyFill="1" applyAlignment="1">
      <x:alignment horizontal="left" vertical="center"/>
    </x:xf>
    <x:xf numFmtId="49" fontId="0" fillId="6" borderId="0" xfId="5" applyNumberFormat="1" applyFont="1" applyFill="1" applyAlignment="1">
      <x:alignment horizontal="center" vertical="center"/>
    </x:xf>
    <x:xf numFmtId="49" fontId="3" fillId="6" borderId="0" xfId="5" applyNumberFormat="1" applyFont="1" applyFill="1" applyAlignment="1">
      <x:alignment horizontal="center" vertical="center"/>
    </x:xf>
    <x:xf numFmtId="0" fontId="1" fillId="0" borderId="4" xfId="0" applyFont="1" applyBorder="1" applyAlignment="1">
      <x:alignment horizontal="left" vertical="top" wrapText="1"/>
    </x:xf>
    <x:xf numFmtId="0" fontId="1" fillId="0" borderId="4" xfId="0" applyFont="1" applyBorder="1" applyAlignment="1">
      <x:alignment horizontal="left" vertical="top"/>
    </x:xf>
    <x:xf numFmtId="0" fontId="7" fillId="0" borderId="0" xfId="4" applyAlignment="1">
      <x:alignment horizontal="center" vertical="center"/>
    </x:xf>
  </x:cellXfs>
  <x:cellStyles count="12">
    <x:cellStyle name="Beschriftung" xfId="6"/>
    <x:cellStyle name="Eingabe Betrag" xfId="8"/>
    <x:cellStyle name="Eingabe Tabelle" xfId="9"/>
    <x:cellStyle name="Eingabe Zahl" xfId="7"/>
    <x:cellStyle name="Entrée" xfId="5"/>
    <x:cellStyle name="Ergebniszeile" xfId="11"/>
    <x:cellStyle name="Normal" xfId="0"/>
    <x:cellStyle name="Tabelle Zahl" xfId="10"/>
    <x:cellStyle name="Texte explicatif" xfId="4"/>
    <x:cellStyle name="Titre 2" xfId="1"/>
    <x:cellStyle name="Titre 3" xfId="2"/>
    <x:cellStyle name="Titre 4" xfId="3"/>
  </x:cellStyles>
  <x:dxfs count="1">
    <x:dxf>
      <x:fill>
        <x:patternFill>
          <x:bgColor theme="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5aed0d68f4384" /><Relationship Type="http://schemas.openxmlformats.org/officeDocument/2006/relationships/theme" Target="/xl/theme/theme1.xml" Id="R4eb8ab18b20b4610" /><Relationship Type="http://schemas.openxmlformats.org/officeDocument/2006/relationships/sharedStrings" Target="/xl/sharedStrings.xml" Id="R927e27c799af43a0" /><Relationship Type="http://schemas.openxmlformats.org/officeDocument/2006/relationships/worksheet" Target="/xl/worksheets/sheet1.xml" Id="Rc8cd382d75c3452e" /><Relationship Type="http://schemas.openxmlformats.org/officeDocument/2006/relationships/worksheet" Target="/xl/worksheets/sheet2.xml" Id="Ra06889114a8247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4ea6737d5c24fa0" /></Relationships>
</file>

<file path=xl/drawings/drawing1.xml><?xml version="1.0" encoding="utf-8"?>
<xdr:wsDr xmlns:xdr="http://schemas.openxmlformats.org/drawingml/2006/spreadsheetDrawing">
  <xdr:twoCellAnchor editAs="oneCell">
    <xdr:from>
      <xdr:col>7</xdr:col>
      <xdr:colOff>1066800</xdr:colOff>
      <xdr:row>0</xdr:row>
      <xdr:rowOff>57150</xdr:rowOff>
    </xdr:from>
    <xdr:to>
      <xdr:col>7</xdr:col>
      <xdr:colOff>2752725</xdr:colOff>
      <xdr:row>0</xdr:row>
      <xdr:rowOff>695325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ea6737d5c2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GIZ 2018">
      <a:dk1>
        <a:srgbClr val="000000"/>
      </a:dk1>
      <a:lt1>
        <a:srgbClr val="FFFFFF"/>
      </a:lt1>
      <a:dk2>
        <a:srgbClr val="939393"/>
      </a:dk2>
      <a:lt2>
        <a:srgbClr val="E6E6E6"/>
      </a:lt2>
      <a:accent1>
        <a:srgbClr val="C80F0F"/>
      </a:accent1>
      <a:accent2>
        <a:srgbClr val="B1E2F0"/>
      </a:accent2>
      <a:accent3>
        <a:srgbClr val="E6E6E6"/>
      </a:accent3>
      <a:accent4>
        <a:srgbClr val="FBBD2A"/>
      </a:accent4>
      <a:accent5>
        <a:srgbClr val="E57706"/>
      </a:accent5>
      <a:accent6>
        <a:srgbClr val="9C7915"/>
      </a:accent6>
      <a:hlink>
        <a:srgbClr val="C80F0F"/>
      </a:hlink>
      <a:folHlink>
        <a:srgbClr val="F25A5A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GIZ 2018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2e568d3f544c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42578125" defaultRowHeight="12"/>
  <x:cols>
    <x:col min="1" max="1" width="2.7109375" customWidth="1"/>
    <x:col min="2" max="6" width="5.7109375" customWidth="1"/>
    <x:col min="7" max="7" width="16.5703125" customWidth="1"/>
    <x:col min="8" max="8" width="52.5703125" customWidth="1"/>
  </x:cols>
  <x:sheetData>
    <x:row r="1" ht="68.25" customHeight="1">
      <x:c r="B1" s="28" t="s">
        <x:v>0</x:v>
      </x:c>
      <x:c r="C1" s="29"/>
      <x:c r="D1" s="29"/>
      <x:c r="E1" s="29"/>
      <x:c r="F1" s="29"/>
      <x:c r="G1" s="29"/>
      <x:c r="H1" s="29"/>
    </x:row>
    <x:row r="2" s="1" customFormat="1" ht="5.25"/>
    <x:row r="3">
      <x:c r="B3" t="s">
        <x:v>1</x:v>
      </x:c>
      <x:c r="C3" s="4"/>
      <x:c r="F3" s="24"/>
      <x:c r="G3" s="25"/>
    </x:row>
    <x:row r="4" s="1" customFormat="1" ht="5.25">
      <x:c r="C4" s="2"/>
      <x:c r="F4" s="3"/>
    </x:row>
    <x:row r="5">
      <x:c r="B5" t="s">
        <x:v>2</x:v>
      </x:c>
      <x:c r="C5" s="4"/>
      <x:c r="F5" s="22" t="str">
        <x:v>PSD-TGO23GIZ0271</x:v>
      </x:c>
      <x:c r="G5" s="23"/>
    </x:row>
    <x:row r="6" s="1" customFormat="1" ht="5.25">
      <x:c r="C6" s="2"/>
      <x:c r="F6" s="2"/>
    </x:row>
    <x:row r="7">
      <x:c r="B7" t="s">
        <x:v>3</x:v>
      </x:c>
      <x:c r="C7" s="4"/>
      <x:c r="F7" s="22" t="s">
        <x:v>4</x:v>
      </x:c>
      <x:c r="G7" s="23"/>
      <x:c r="H7" s="23"/>
    </x:row>
    <x:row r="8" s="1" customFormat="1" ht="5.25">
      <x:c r="C8" s="2"/>
      <x:c r="F8" s="2"/>
    </x:row>
    <x:row r="9">
      <x:c r="B9" t="s">
        <x:v>5</x:v>
      </x:c>
      <x:c r="C9" s="4"/>
      <x:c r="F9" s="22" t="str">
        <x:v>7751340</x:v>
      </x:c>
      <x:c r="G9" s="23"/>
      <x:c r="H9" s="23"/>
    </x:row>
    <x:row r="10" s="1" customFormat="1" ht="5.25">
      <x:c r="C10" s="2"/>
      <x:c r="F10" s="2"/>
    </x:row>
    <x:row r="11">
      <x:c r="B11" t="s">
        <x:v>6</x:v>
      </x:c>
      <x:c r="C11" s="4"/>
      <x:c r="F11" s="23" t="str">
        <x:v>DJAGBA Roland Fo Doh</x:v>
      </x:c>
      <x:c r="G11" s="23"/>
      <x:c r="H11" s="23"/>
    </x:row>
    <x:row r="12" s="1" customFormat="1" ht="5.25">
      <x:c r="C12" s="2"/>
      <x:c r="F12" s="2"/>
    </x:row>
    <x:row r="13">
      <x:c r="B13" t="s">
        <x:v>7</x:v>
      </x:c>
      <x:c r="F13" s="22" t="str">
        <x:v>Expert national en bases de données et systèmes d’information</x:v>
      </x:c>
      <x:c r="G13" s="23"/>
      <x:c r="H13" s="23"/>
    </x:row>
    <x:row r="14" s="1" customFormat="1" ht="5.25">
      <x:c r="C14" s="2"/>
      <x:c r="F14" s="2"/>
    </x:row>
    <x:row r="15">
      <x:c r="B15" t="s">
        <x:v>8</x:v>
      </x:c>
      <x:c r="C15" s="26" t="str">
        <x:v>Juillet</x:v>
      </x:c>
      <x:c r="D15" s="27"/>
      <x:c r="E15" s="27"/>
      <x:c r="F15" t="s">
        <x:v>9</x:v>
      </x:c>
      <x:c r="G15" s="8" t="n">
        <x:v>2026</x:v>
      </x:c>
    </x:row>
    <x:row r="16" s="10" customFormat="1" ht="8.25">
      <x:c r="C16" s="11"/>
      <x:c r="F16" s="11"/>
    </x:row>
    <x:row r="17">
      <x:c r="C17" s="30"/>
      <x:c r="D17" s="30"/>
      <x:c r="E17" s="30"/>
      <x:c r="F17" s="30"/>
    </x:row>
    <x:row r="18" s="1" customFormat="1" ht="5.25">
      <x:c r="C18" s="2"/>
      <x:c r="F18" s="2"/>
    </x:row>
    <x:row r="19" ht="111.75" customHeight="1">
      <x:c r="B19" s="12" t="s">
        <x:v>10</x:v>
      </x:c>
      <x:c r="C19" s="12" t="s">
        <x:v>11</x:v>
      </x:c>
      <x:c r="D19" s="12" t="s">
        <x:v>12</x:v>
      </x:c>
      <x:c r="E19" s="12" t="s">
        <x:v>13</x:v>
      </x:c>
      <x:c r="F19" s="12" t="s">
        <x:v>14</x:v>
      </x:c>
      <x:c r="G19" s="6" t="s">
        <x:v>15</x:v>
      </x:c>
      <x:c r="H19" s="6" t="s">
        <x:v>16</x:v>
      </x:c>
    </x:row>
    <x:row r="20">
      <x:c r="B20" s="5">
        <x:v>1</x:v>
      </x:c>
      <x:c r="C20" s="17"/>
      <x:c r="D20" s="17"/>
      <x:c r="E20" s="17"/>
      <x:c r="F20" s="17"/>
      <x:c r="G20" s="13"/>
      <x:c r="H20" s="13"/>
    </x:row>
    <x:row r="21">
      <x:c r="B21" s="5">
        <x:v>2</x:v>
      </x:c>
      <x:c r="C21" s="17"/>
      <x:c r="D21" s="17"/>
      <x:c r="E21" s="17"/>
      <x:c r="F21" s="17"/>
      <x:c r="G21" s="13"/>
      <x:c r="H21" s="13"/>
    </x:row>
    <x:row r="22">
      <x:c r="B22" s="5">
        <x:v>3</x:v>
      </x:c>
      <x:c r="C22" s="17"/>
      <x:c r="D22" s="17"/>
      <x:c r="E22" s="17"/>
      <x:c r="F22" s="17"/>
      <x:c r="G22" s="13"/>
      <x:c r="H22" s="13"/>
      <x:c r="O22" s="21">
        <x:v>0.5</x:v>
      </x:c>
    </x:row>
    <x:row r="23">
      <x:c r="B23" s="5">
        <x:v>4</x:v>
      </x:c>
      <x:c r="C23" s="17"/>
      <x:c r="D23" s="17"/>
      <x:c r="E23" s="17"/>
      <x:c r="F23" s="17"/>
      <x:c r="G23" s="13"/>
      <x:c r="H23" s="13"/>
      <x:c r="O23" s="21">
        <x:v>1</x:v>
      </x:c>
    </x:row>
    <x:row r="24">
      <x:c r="B24" s="5">
        <x:v>5</x:v>
      </x:c>
      <x:c r="C24" s="17"/>
      <x:c r="D24" s="17"/>
      <x:c r="E24" s="17"/>
      <x:c r="F24" s="17"/>
      <x:c r="G24" s="13"/>
      <x:c r="H24" s="13"/>
    </x:row>
    <x:row r="25">
      <x:c r="B25" s="5">
        <x:v>6</x:v>
      </x:c>
      <x:c r="C25" s="17"/>
      <x:c r="D25" s="17"/>
      <x:c r="E25" s="17"/>
      <x:c r="F25" s="17"/>
      <x:c r="G25" s="13"/>
      <x:c r="H25" s="13"/>
    </x:row>
    <x:row r="26">
      <x:c r="B26" s="5">
        <x:v>7</x:v>
      </x:c>
      <x:c r="C26" s="17"/>
      <x:c r="D26" s="17"/>
      <x:c r="E26" s="17"/>
      <x:c r="F26" s="17"/>
      <x:c r="G26" s="13"/>
      <x:c r="H26" s="13"/>
    </x:row>
    <x:row r="27">
      <x:c r="B27" s="5">
        <x:v>8</x:v>
      </x:c>
      <x:c r="C27" s="17"/>
      <x:c r="D27" s="17"/>
      <x:c r="E27" s="17"/>
      <x:c r="F27" s="17"/>
      <x:c r="G27" s="13"/>
      <x:c r="H27" s="13"/>
    </x:row>
    <x:row r="28">
      <x:c r="B28" s="5">
        <x:v>9</x:v>
      </x:c>
      <x:c r="C28" s="17"/>
      <x:c r="D28" s="17"/>
      <x:c r="E28" s="17"/>
      <x:c r="F28" s="17"/>
      <x:c r="G28" s="13"/>
      <x:c r="H28" s="13"/>
    </x:row>
    <x:row r="29">
      <x:c r="B29" s="5">
        <x:v>10</x:v>
      </x:c>
      <x:c r="C29" s="17"/>
      <x:c r="D29" s="17"/>
      <x:c r="E29" s="17"/>
      <x:c r="F29" s="17"/>
      <x:c r="G29" s="13"/>
      <x:c r="H29" s="13"/>
    </x:row>
    <x:row r="30">
      <x:c r="B30" s="5">
        <x:v>11</x:v>
      </x:c>
      <x:c r="C30" s="17"/>
      <x:c r="D30" s="17"/>
      <x:c r="E30" s="17"/>
      <x:c r="F30" s="17"/>
      <x:c r="G30" s="13"/>
      <x:c r="H30" s="13"/>
    </x:row>
    <x:row r="31">
      <x:c r="B31" s="5">
        <x:v>12</x:v>
      </x:c>
      <x:c r="C31" s="17"/>
      <x:c r="D31" s="17"/>
      <x:c r="E31" s="17"/>
      <x:c r="F31" s="17"/>
      <x:c r="G31" s="13"/>
      <x:c r="H31" s="13"/>
    </x:row>
    <x:row r="32">
      <x:c r="B32" s="5">
        <x:v>13</x:v>
      </x:c>
      <x:c r="C32" s="17" t="n">
        <x:v>1</x:v>
      </x:c>
      <x:c r="D32" s="17"/>
      <x:c r="E32" s="17"/>
      <x:c r="F32" s="17"/>
      <x:c r="G32" s="13" t="str">
        <x:v>Lomé</x:v>
      </x:c>
      <x:c r="H32" s="13" t="str">
        <x:v>Réunion de cadrage HAUQE/GFA : besoins, méthodologie, planning et livrables.</x:v>
      </x:c>
    </x:row>
    <x:row r="33">
      <x:c r="B33" s="5">
        <x:v>14</x:v>
      </x:c>
      <x:c r="C33" s="17" t="n">
        <x:v>0.5</x:v>
      </x:c>
      <x:c r="D33" s="17"/>
      <x:c r="E33" s="17"/>
      <x:c r="F33" s="17"/>
      <x:c r="G33" s="13" t="str">
        <x:v>Télétravail</x:v>
      </x:c>
      <x:c r="H33" s="13" t="str">
        <x:v>Analyse des TDR, du contrat et du corpus documentaire de la mission.</x:v>
      </x:c>
    </x:row>
    <x:row r="34">
      <x:c r="B34" s="5">
        <x:v>15</x:v>
      </x:c>
      <x:c r="C34" s="17" t="n">
        <x:v>1</x:v>
      </x:c>
      <x:c r="D34" s="17"/>
      <x:c r="E34" s="17"/>
      <x:c r="F34" s="17"/>
      <x:c r="G34" s="13" t="str">
        <x:v>Télétravail</x:v>
      </x:c>
      <x:c r="H34" s="13" t="str">
        <x:v>Méthodologie d’intervention et planification détaillée des travaux.</x:v>
      </x:c>
    </x:row>
    <x:row r="35">
      <x:c r="B35" s="5">
        <x:v>16</x:v>
      </x:c>
      <x:c r="C35" s="17"/>
      <x:c r="D35" s="17"/>
      <x:c r="E35" s="17"/>
      <x:c r="F35" s="17"/>
      <x:c r="G35" s="13"/>
      <x:c r="H35" s="13"/>
    </x:row>
    <x:row r="36">
      <x:c r="B36" s="5">
        <x:v>17</x:v>
      </x:c>
      <x:c r="C36" s="17" t="n">
        <x:v>1</x:v>
      </x:c>
      <x:c r="D36" s="17"/>
      <x:c r="E36" s="17"/>
      <x:c r="F36" s="17"/>
      <x:c r="G36" s="13" t="str">
        <x:v>Télétravail</x:v>
      </x:c>
      <x:c r="H36" s="13" t="str">
        <x:v>Architecture fonctionnelle, MCD, MLD et dictionnaire de données du SNGSC.</x:v>
      </x:c>
    </x:row>
    <x:row r="37">
      <x:c r="B37" s="5">
        <x:v>18</x:v>
      </x:c>
      <x:c r="C37" s="17"/>
      <x:c r="D37" s="17"/>
      <x:c r="E37" s="17"/>
      <x:c r="F37" s="17"/>
      <x:c r="G37" s="13"/>
      <x:c r="H37" s="13"/>
    </x:row>
    <x:row r="38">
      <x:c r="B38" s="5">
        <x:v>19</x:v>
      </x:c>
      <x:c r="C38" s="17"/>
      <x:c r="D38" s="17"/>
      <x:c r="E38" s="17"/>
      <x:c r="F38" s="17"/>
      <x:c r="G38" s="13"/>
      <x:c r="H38" s="13"/>
    </x:row>
    <x:row r="39">
      <x:c r="B39" s="5">
        <x:v>20</x:v>
      </x:c>
      <x:c r="C39" s="17" t="n">
        <x:v>1</x:v>
      </x:c>
      <x:c r="D39" s="17"/>
      <x:c r="E39" s="17"/>
      <x:c r="F39" s="17"/>
      <x:c r="G39" s="13" t="str">
        <x:v>Télétravail</x:v>
      </x:c>
      <x:c r="H39" s="13" t="str">
        <x:v>Architecture technique : PostgreSQL, FastAPI et composants applicatifs.</x:v>
      </x:c>
    </x:row>
    <x:row r="40">
      <x:c r="B40" s="5">
        <x:v>21</x:v>
      </x:c>
      <x:c r="C40" s="17" t="n">
        <x:v>1</x:v>
      </x:c>
      <x:c r="D40" s="17"/>
      <x:c r="E40" s="17"/>
      <x:c r="F40" s="17"/>
      <x:c r="G40" s="13" t="str">
        <x:v>Télétravail</x:v>
      </x:c>
      <x:c r="H40" s="13" t="str">
        <x:v>Développement des modules Entreprises, Organismes, Certifications et Référentiels.</x:v>
      </x:c>
    </x:row>
    <x:row r="41">
      <x:c r="B41" s="5">
        <x:v>22</x:v>
      </x:c>
      <x:c r="C41" s="17" t="n">
        <x:v>1</x:v>
      </x:c>
      <x:c r="D41" s="17"/>
      <x:c r="E41" s="17"/>
      <x:c r="F41" s="17"/>
      <x:c r="G41" s="13" t="str">
        <x:v>Télétravail</x:v>
      </x:c>
      <x:c r="H41" s="13" t="str">
        <x:v>Mise en place des utilisateurs, rôles, permissions et mécanismes de sécurité.</x:v>
      </x:c>
    </x:row>
    <x:row r="42">
      <x:c r="B42" s="5">
        <x:v>23</x:v>
      </x:c>
      <x:c r="C42" s="17"/>
      <x:c r="D42" s="17"/>
      <x:c r="E42" s="17"/>
      <x:c r="F42" s="17"/>
      <x:c r="G42" s="13"/>
      <x:c r="H42" s="13"/>
    </x:row>
    <x:row r="43">
      <x:c r="B43" s="5">
        <x:v>24</x:v>
      </x:c>
      <x:c r="C43" s="17" t="n">
        <x:v>1</x:v>
      </x:c>
      <x:c r="D43" s="17"/>
      <x:c r="E43" s="17"/>
      <x:c r="F43" s="17"/>
      <x:c r="G43" s="13" t="str">
        <x:v>Lomé</x:v>
      </x:c>
      <x:c r="H43" s="13" t="str">
        <x:v>Seconde réunion de travail : revue des outils, ajustements et validation des orientations.</x:v>
      </x:c>
    </x:row>
    <x:row r="44">
      <x:c r="B44" s="5">
        <x:v>25</x:v>
      </x:c>
      <x:c r="C44" s="17"/>
      <x:c r="D44" s="17"/>
      <x:c r="E44" s="17"/>
      <x:c r="F44" s="17"/>
      <x:c r="G44" s="13"/>
      <x:c r="H44" s="13"/>
    </x:row>
    <x:row r="45">
      <x:c r="B45" s="5">
        <x:v>26</x:v>
      </x:c>
      <x:c r="C45" s="17"/>
      <x:c r="D45" s="17"/>
      <x:c r="E45" s="17"/>
      <x:c r="F45" s="17"/>
      <x:c r="G45" s="13"/>
      <x:c r="H45" s="13"/>
    </x:row>
    <x:row r="46">
      <x:c r="B46" s="5">
        <x:v>27</x:v>
      </x:c>
      <x:c r="C46" s="17" t="n">
        <x:v>1</x:v>
      </x:c>
      <x:c r="D46" s="17"/>
      <x:c r="E46" s="17"/>
      <x:c r="F46" s="17"/>
      <x:c r="G46" s="13" t="str">
        <x:v>Télétravail</x:v>
      </x:c>
      <x:c r="H46" s="13" t="str">
        <x:v>Développement des campagnes, missions, fiches numériques et contrôles de complétude.</x:v>
      </x:c>
    </x:row>
    <x:row r="47">
      <x:c r="B47" s="5">
        <x:v>28</x:v>
      </x:c>
      <x:c r="C47" s="17" t="n">
        <x:v>1</x:v>
      </x:c>
      <x:c r="D47" s="17"/>
      <x:c r="E47" s="17"/>
      <x:c r="F47" s="17"/>
      <x:c r="G47" s="13" t="str">
        <x:v>Télétravail</x:v>
      </x:c>
      <x:c r="H47" s="13" t="str">
        <x:v>Développement de la vérification, du contrôle FUCCS et des corrections.</x:v>
      </x:c>
    </x:row>
    <x:row r="48">
      <x:c r="B48" s="5">
        <x:v>29</x:v>
      </x:c>
      <x:c r="C48" s="17"/>
      <x:c r="D48" s="17"/>
      <x:c r="E48" s="17"/>
      <x:c r="F48" s="17"/>
      <x:c r="G48" s="13"/>
      <x:c r="H48" s="13"/>
    </x:row>
    <x:row r="49">
      <x:c r="B49" s="5">
        <x:v>30</x:v>
      </x:c>
      <x:c r="C49" s="17" t="n">
        <x:v>1</x:v>
      </x:c>
      <x:c r="D49" s="17"/>
      <x:c r="E49" s="17"/>
      <x:c r="F49" s="17"/>
      <x:c r="G49" s="13" t="str">
        <x:v>Télétravail</x:v>
      </x:c>
      <x:c r="H49" s="13" t="str">
        <x:v>Développement des processus de validation et d’intégration dans la BNEC.</x:v>
      </x:c>
    </x:row>
    <x:row r="50">
      <x:c r="B50" s="5">
        <x:v>31</x:v>
      </x:c>
      <x:c r="C50" s="17" t="n">
        <x:v>1</x:v>
      </x:c>
      <x:c r="D50" s="17"/>
      <x:c r="E50" s="17"/>
      <x:c r="F50" s="17"/>
      <x:c r="G50" s="13" t="str">
        <x:v>Télétravail</x:v>
      </x:c>
      <x:c r="H50" s="13" t="str">
        <x:v>Préparation des données collectées et définition des formats d’importation.</x:v>
      </x:c>
    </x:row>
    <x:row r="51" s="14" customFormat="1" ht="9">
      <x:c r="C51" s="18"/>
      <x:c r="D51" s="18"/>
      <x:c r="E51" s="18"/>
      <x:c r="F51" s="18"/>
    </x:row>
    <x:row r="52">
      <x:c r="B52" s="15" t="s">
        <x:v>17</x:v>
      </x:c>
      <x:c r="C52" s="19" t="n">
        <x:f>SUM(C20:C50)</x:f>
        <x:v>11.5</x:v>
      </x:c>
      <x:c r="D52" s="20" t="str">
        <x:f>IFERROR("Fachkrafttage (FKT) im "&amp;TEXT(DATEVALUE("1 "&amp;C15&amp;" "&amp;G15),"MMMM JJJJ"),"")</x:f>
      </x:c>
      <x:c r="E52" s="20"/>
      <x:c r="F52" s="20"/>
      <x:c r="G52" s="15"/>
      <x:c r="H52" s="15"/>
    </x:row>
    <x:row r="54">
      <x:c r="B54" t="s">
        <x:v>18</x:v>
      </x:c>
    </x:row>
    <x:row r="55" ht="15.75" customHeight="1">
      <x:c r="B55" s="25"/>
      <x:c r="C55" s="25"/>
      <x:c r="D55" s="25"/>
      <x:c r="E55" s="25"/>
      <x:c r="F55" s="25"/>
      <x:c r="G55" s="25"/>
      <x:c r="H55" s="25"/>
    </x:row>
    <x:row r="56">
      <x:c r="B56" s="9" t="s">
        <x:v>19</x:v>
      </x:c>
    </x:row>
    <x:row r="57" ht="12.949999809265137" customHeight="1">
      <x:c r="B57" s="9"/>
    </x:row>
    <x:row r="58" ht="15.75" customHeight="1">
      <x:c r="B58" s="25"/>
      <x:c r="C58" s="25"/>
      <x:c r="D58" s="25"/>
      <x:c r="E58" s="25"/>
      <x:c r="F58" s="25"/>
      <x:c r="G58" s="25"/>
      <x:c r="H58" s="25"/>
    </x:row>
    <x:row r="59">
      <x:c r="B59" s="9" t="s">
        <x:v>20</x:v>
      </x:c>
    </x:row>
    <x:row r="60">
      <x:c r="B60" s="9"/>
    </x:row>
    <x:row r="63">
      <x:c r="B63" s="9"/>
    </x:row>
    <x:row r="64">
      <x:c r="B64" s="9"/>
    </x:row>
    <x:row r="65">
      <x:c r="B65" s="7" t="s">
        <x:v>21</x:v>
      </x:c>
    </x:row>
    <x:row r="66">
      <x:c r="B66" t="s">
        <x:v>22</x:v>
      </x:c>
    </x:row>
    <x:row r="67">
      <x:c r="B67" t="s">
        <x:v>23</x:v>
      </x:c>
    </x:row>
    <x:row r="68">
      <x:c r="B68" t="s">
        <x:v>24</x:v>
      </x:c>
    </x:row>
    <x:row r="69">
      <x:c r="B69" t="s">
        <x:v>25</x:v>
      </x:c>
    </x:row>
  </x:sheetData>
  <x:mergeCells>
    <x:mergeCell ref="F5:G5"/>
    <x:mergeCell ref="F3:G3"/>
    <x:mergeCell ref="C15:E15"/>
    <x:mergeCell ref="B1:H1"/>
    <x:mergeCell ref="B58:H58"/>
    <x:mergeCell ref="C17:F17"/>
    <x:mergeCell ref="F7:H7"/>
    <x:mergeCell ref="F9:H9"/>
    <x:mergeCell ref="F11:H11"/>
    <x:mergeCell ref="F13:H13"/>
    <x:mergeCell ref="B55:H55"/>
  </x:mergeCells>
  <x:conditionalFormatting sqref="B48:B50 G48:H50">
    <x:cfRule type="expression" dxfId="0" priority="1">
      <x:formula>AnzTage&lt;$B48</x:formula>
    </x:cfRule>
  </x:conditionalFormatting>
  <x:dataValidations count="4">
    <x:dataValidation type="list" allowBlank="1" showInputMessage="1" showErrorMessage="1" sqref="C15:E15">
      <x:formula1>Monate</x:formula1>
    </x:dataValidation>
    <x:dataValidation type="list" errorStyle="warning" allowBlank="1" showInputMessage="1" showErrorMessage="1" error="Bitte eine korrekte Jahreszahl eingeben _x000a_(z.B. 20 oder 2020)" sqref="G15">
      <x:formula1>Jahre</x:formula1>
    </x:dataValidation>
    <x:dataValidation type="list" allowBlank="1" showInputMessage="1" showErrorMessage="1" sqref="C20:C50">
      <x:formula1>$O$22:$O$23</x:formula1>
    </x:dataValidation>
    <x:dataValidation type="list" allowBlank="1" showInputMessage="1" showErrorMessage="1" sqref="D20:F50">
      <x:formula1>"x"</x:formula1>
    </x:dataValidation>
  </x:dataValidations>
  <x:pageMargins left="0.7" right="0.7" top="0.75" bottom="0.75" header="0.3" footer="0.3"/>
  <x:drawing xmlns:r="http://schemas.openxmlformats.org/officeDocument/2006/relationships" r:id="R922e568d3f544cf2"/>
</x:worksheet>
</file>

<file path=xl/worksheets/sheet2.xml><?xml version="1.0" encoding="utf-8"?>
<x:worksheet xmlns:x="http://schemas.openxmlformats.org/spreadsheetml/2006/main">
  <x:sheetFormatPr defaultColWidth="11.42578125" defaultRowHeight="12"/>
  <x:sheetData>
    <x:row r="4">
      <x:c r="C4" s="7" t="s">
        <x:v>26</x:v>
      </x:c>
      <x:c r="E4" s="7" t="s">
        <x:v>27</x:v>
      </x:c>
      <x:c r="G4" s="7" t="s">
        <x:v>28</x:v>
      </x:c>
    </x:row>
    <x:row r="5">
      <x:c r="C5" t="s">
        <x:v>29</x:v>
      </x:c>
      <x:c r="E5" t="s">
        <x:v>29</x:v>
      </x:c>
      <x:c r="G5" t="n">
        <x:f>IFERROR(DATEVALUE("1 "&amp;G8&amp;" "&amp;'Fiche de présence'!G15),0)</x:f>
        <x:v>46204</x:v>
      </x:c>
    </x:row>
    <x:row r="6">
      <x:c r="C6" t="s">
        <x:v>30</x:v>
      </x:c>
      <x:c r="D6" t="s">
        <x:v>31</x:v>
      </x:c>
      <x:c r="E6" t="n">
        <x:f t="shared" ref="E6:E9" ca="1" si="0">E7-1</x:f>
        <x:v>2021</x:v>
      </x:c>
      <x:c r="G6" s="16" t="n">
        <x:f>IFERROR(DAY(DATE(YEAR(G5),MONTH(G5)+1,0)),31)</x:f>
        <x:v>31</x:v>
      </x:c>
    </x:row>
    <x:row r="7">
      <x:c r="C7" t="s">
        <x:v>32</x:v>
      </x:c>
      <x:c r="D7" t="s">
        <x:v>33</x:v>
      </x:c>
      <x:c r="E7">
        <x:f t="shared" ca="1" si="0"/>
        <x:v>2022</x:v>
      </x:c>
      <x:c r="G7" s="4" t="str">
        <x:f>'Fiche de présence'!C15</x:f>
        <x:v>Juillet</x:v>
      </x:c>
    </x:row>
    <x:row r="8">
      <x:c r="C8" t="s">
        <x:v>34</x:v>
      </x:c>
      <x:c r="D8" t="s">
        <x:v>35</x:v>
      </x:c>
      <x:c r="E8">
        <x:f t="shared" ca="1" si="0"/>
        <x:v>2023</x:v>
      </x:c>
      <x:c r="G8" t="str">
        <x:f>VLOOKUP(G7,Listen!C5:D16,2,FALSE)</x:f>
        <x:v>Juli</x:v>
      </x:c>
    </x:row>
    <x:row r="9">
      <x:c r="C9" t="s">
        <x:v>36</x:v>
      </x:c>
      <x:c r="D9" t="s">
        <x:v>37</x:v>
      </x:c>
      <x:c r="E9">
        <x:f t="shared" ca="1" si="0"/>
        <x:v>2024</x:v>
      </x:c>
    </x:row>
    <x:row r="10">
      <x:c r="C10" t="s">
        <x:v>38</x:v>
      </x:c>
      <x:c r="D10" t="s">
        <x:v>38</x:v>
      </x:c>
      <x:c r="E10" s="7" t="n">
        <x:f t="shared" ref="E10" ca="1" si="1">YEAR(TODAY())</x:f>
        <x:v>2026</x:v>
      </x:c>
    </x:row>
    <x:row r="11">
      <x:c r="C11" t="s">
        <x:v>39</x:v>
      </x:c>
      <x:c r="D11" t="s">
        <x:v>40</x:v>
      </x:c>
      <x:c r="E11" t="n">
        <x:f ca="1">E10+1</x:f>
        <x:v>2027</x:v>
      </x:c>
    </x:row>
    <x:row r="12">
      <x:c r="C12" t="s">
        <x:v>41</x:v>
      </x:c>
      <x:c r="D12" t="s">
        <x:v>42</x:v>
      </x:c>
      <x:c r="E12" t="n">
        <x:f ca="1">E11+1</x:f>
        <x:v>2028</x:v>
      </x:c>
    </x:row>
    <x:row r="13">
      <x:c r="C13" t="s">
        <x:v>43</x:v>
      </x:c>
      <x:c r="D13" t="s">
        <x:v>44</x:v>
      </x:c>
      <x:c r="E13" t="n">
        <x:f t="shared" ref="E13:E20" ca="1" si="2">E12+1</x:f>
        <x:v>2029</x:v>
      </x:c>
    </x:row>
    <x:row r="14">
      <x:c r="C14" t="s">
        <x:v>45</x:v>
      </x:c>
      <x:c r="D14" t="s">
        <x:v>46</x:v>
      </x:c>
      <x:c r="E14">
        <x:f t="shared" ca="1" si="2"/>
        <x:v>2029</x:v>
      </x:c>
    </x:row>
    <x:row r="15">
      <x:c r="C15" t="s">
        <x:v>47</x:v>
      </x:c>
      <x:c r="D15" t="s">
        <x:v>48</x:v>
      </x:c>
      <x:c r="E15">
        <x:f t="shared" ca="1" si="2"/>
        <x:v>2030</x:v>
      </x:c>
    </x:row>
    <x:row r="16">
      <x:c r="C16" t="s">
        <x:v>49</x:v>
      </x:c>
      <x:c r="D16" t="s">
        <x:v>50</x:v>
      </x:c>
      <x:c r="E16">
        <x:f t="shared" ca="1" si="2"/>
        <x:v>2031</x:v>
      </x:c>
    </x:row>
    <x:row r="17">
      <x:c r="C17" t="s">
        <x:v>51</x:v>
      </x:c>
      <x:c r="D17" t="s">
        <x:v>52</x:v>
      </x:c>
      <x:c r="E17">
        <x:f t="shared" ca="1" si="2"/>
        <x:v>2032</x:v>
      </x:c>
    </x:row>
    <x:row r="18">
      <x:c r="E18">
        <x:f t="shared" ca="1" si="2"/>
        <x:v>2033</x:v>
      </x:c>
    </x:row>
    <x:row r="19">
      <x:c r="E19" t="n">
        <x:f ca="1">E18+1</x:f>
        <x:v>2034</x:v>
      </x:c>
    </x:row>
    <x:row r="20">
      <x:c r="E20">
        <x:f t="shared" ca="1" si="2"/>
        <x:v>2035</x:v>
      </x:c>
    </x:row>
  </x:sheetData>
  <x:pageMargins left="0.7" right="0.7" top="0.75" bottom="0.75" header="0.3" footer="0.3"/>
</x:worksheet>
</file>