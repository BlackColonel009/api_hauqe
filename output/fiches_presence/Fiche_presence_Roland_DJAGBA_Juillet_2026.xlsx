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APK WEB Projets R.1.3.5 et R1.4.3\output\fiches_presence\"/>
    </mc:Choice>
  </mc:AlternateContent>
  <xr:revisionPtr revIDLastSave="0" documentId="13_ncr:1_{C0F25DAC-A2FB-42E7-8E9E-617D20DF79D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iche de présence" sheetId="3" r:id="rId1"/>
    <sheet name="Listen" sheetId="4" r:id="rId2"/>
  </sheets>
  <definedNames>
    <definedName name="AnzTage">Listen!$G$6</definedName>
    <definedName name="Jahre">Listen!$E$5:$E$20</definedName>
    <definedName name="Monate">Listen!$C$5:$C$17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4" l="1"/>
  <c r="E9" i="4" s="1"/>
  <c r="E8" i="4" s="1"/>
  <c r="E7" i="4" s="1"/>
  <c r="E6" i="4" s="1"/>
  <c r="G7" i="4"/>
  <c r="G8" i="4" s="1"/>
  <c r="G5" i="4" s="1"/>
  <c r="G6" i="4" s="1"/>
  <c r="D52" i="3"/>
  <c r="C52" i="3"/>
  <c r="E11" i="4" l="1"/>
  <c r="E12" i="4" s="1"/>
  <c r="E13" i="4" s="1"/>
  <c r="E14" i="4" s="1"/>
  <c r="E15" i="4" s="1"/>
  <c r="E16" i="4" s="1"/>
  <c r="E17" i="4" s="1"/>
  <c r="E18" i="4" s="1"/>
  <c r="E19" i="4" s="1"/>
  <c r="E20" i="4" s="1"/>
</calcChain>
</file>

<file path=xl/sharedStrings.xml><?xml version="1.0" encoding="utf-8"?>
<sst xmlns="http://schemas.openxmlformats.org/spreadsheetml/2006/main" count="85" uniqueCount="72">
  <si>
    <t xml:space="preserve">
Fiche de présence</t>
  </si>
  <si>
    <t>Numéro de contrat :</t>
  </si>
  <si>
    <t>Numéro de projet :</t>
  </si>
  <si>
    <t>Contractant :</t>
  </si>
  <si>
    <t>GFA Consulting Group GmbH</t>
  </si>
  <si>
    <t>GFA Centre de coûts:</t>
  </si>
  <si>
    <t>Nom de l'expert(e) :</t>
  </si>
  <si>
    <t>Rôle / Fonction :</t>
  </si>
  <si>
    <t>Mois:</t>
  </si>
  <si>
    <t>Année:</t>
  </si>
  <si>
    <t xml:space="preserve"> Date</t>
  </si>
  <si>
    <t xml:space="preserve"> Jours de travail</t>
  </si>
  <si>
    <t xml:space="preserve"> Frais liés à la mission sur le terrain</t>
  </si>
  <si>
    <t>Indemnité journalière</t>
  </si>
  <si>
    <t xml:space="preserve"> Indemnité d'hébergement</t>
  </si>
  <si>
    <t>Lieu</t>
  </si>
  <si>
    <t>Activités / Thèmes / Résultats</t>
  </si>
  <si>
    <t>Total</t>
  </si>
  <si>
    <t>Je certifie par la présente que les informations ci-dessus sont correctes.</t>
  </si>
  <si>
    <t>Expert(e) (Date et signature)</t>
  </si>
  <si>
    <t>Coordinateur de Mission GFA (Date et signature)</t>
  </si>
  <si>
    <t>Remarques:</t>
  </si>
  <si>
    <t>• Jours de travail voir numéro 3.3.1 AVB 2020</t>
  </si>
  <si>
    <t>• Frais liés à la mission sur le terrain voir numéro 3.3.2 AVB 2020</t>
  </si>
  <si>
    <t>• Indemnité journalière voir numéro 3.3.4.2 AVB 2020</t>
  </si>
  <si>
    <t>• Indemnité d'hébergement voir numéro 3.3.4.3 AVB 2020</t>
  </si>
  <si>
    <t>Monate</t>
  </si>
  <si>
    <t>Jahre</t>
  </si>
  <si>
    <t>Datum</t>
  </si>
  <si>
    <t>sélectionner</t>
  </si>
  <si>
    <t>Janvier</t>
  </si>
  <si>
    <t>Januar</t>
  </si>
  <si>
    <t>Février</t>
  </si>
  <si>
    <t>Februar</t>
  </si>
  <si>
    <t>Mars</t>
  </si>
  <si>
    <t>März</t>
  </si>
  <si>
    <t>Avril</t>
  </si>
  <si>
    <t>April</t>
  </si>
  <si>
    <t>Mai</t>
  </si>
  <si>
    <t>Juin</t>
  </si>
  <si>
    <t>Juni</t>
  </si>
  <si>
    <t>Juillet</t>
  </si>
  <si>
    <t>Juli</t>
  </si>
  <si>
    <t>Août</t>
  </si>
  <si>
    <t>August</t>
  </si>
  <si>
    <t>Septembre</t>
  </si>
  <si>
    <t>September</t>
  </si>
  <si>
    <t>Octobre</t>
  </si>
  <si>
    <t>Oktober</t>
  </si>
  <si>
    <t>Novembre</t>
  </si>
  <si>
    <t>November</t>
  </si>
  <si>
    <t>Decembre</t>
  </si>
  <si>
    <t>Dezember</t>
  </si>
  <si>
    <t>PSD-TGO23GIZ0271</t>
  </si>
  <si>
    <t>7751340</t>
  </si>
  <si>
    <t>DJAGBA Roland Fo Doh</t>
  </si>
  <si>
    <t>Expert national en bases de données et systèmes d’information</t>
  </si>
  <si>
    <t>Lomé</t>
  </si>
  <si>
    <t>Réunion de cadrage HAUQE/GFA : besoins, méthodologie, planning et livrables.</t>
  </si>
  <si>
    <t>Télétravail</t>
  </si>
  <si>
    <t>Analyse des TDR, du contrat et du corpus documentaire de la mission.</t>
  </si>
  <si>
    <t>Méthodologie d’intervention et planification détaillée des travaux.</t>
  </si>
  <si>
    <t>Architecture fonctionnelle, MCD, MLD et dictionnaire de données du SNGSC.</t>
  </si>
  <si>
    <t>Architecture technique : PostgreSQL, FastAPI et composants applicatifs.</t>
  </si>
  <si>
    <t>Développement des modules Entreprises, Organismes, Certifications et Référentiels.</t>
  </si>
  <si>
    <t>Mise en place des utilisateurs, rôles, permissions et mécanismes de sécurité.</t>
  </si>
  <si>
    <t>Seconde réunion de travail : revue des outils, ajustements et validation des orientations.</t>
  </si>
  <si>
    <t>Développement des campagnes, missions, fiches numériques et contrôles de complétude.</t>
  </si>
  <si>
    <t>Développement de la vérification, du contrôle FUCCS et des corrections.</t>
  </si>
  <si>
    <t>Développement des processus de validation et d’intégration dans la BNEC.</t>
  </si>
  <si>
    <t>Préparation des données collectées et définition des formats d’importation.</t>
  </si>
  <si>
    <t>DJAGBA Roland Fo Doh, Lomé le 01/09/2026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</si>
</sst>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\-"/>
    <numFmt numFmtId="165" formatCode="#,##0;\-#,##0;\-"/>
    <numFmt numFmtId="166" formatCode="0.0"/>
  </numFmts>
  <fonts count="14" x14ac:knownFonts="1">
    <font>
      <sz val="9"/>
      <color theme="1"/>
      <name val="Arial"/>
    </font>
    <font>
      <b/>
      <sz val="14"/>
      <color theme="1"/>
      <name val="Arial"/>
    </font>
    <font>
      <sz val="11"/>
      <name val="Arial"/>
    </font>
    <font>
      <sz val="9"/>
      <color theme="1"/>
      <name val="Arial"/>
    </font>
    <font>
      <b/>
      <sz val="9"/>
      <color theme="1"/>
      <name val="Arial"/>
    </font>
    <font>
      <sz val="1"/>
      <color theme="1"/>
      <name val="Arial"/>
    </font>
    <font>
      <sz val="9"/>
      <name val="Arial"/>
    </font>
    <font>
      <i/>
      <sz val="8"/>
      <color theme="3"/>
      <name val="Arial"/>
    </font>
    <font>
      <b/>
      <sz val="9"/>
      <color theme="0"/>
      <name val="Arial"/>
    </font>
    <font>
      <b/>
      <sz val="9"/>
      <color rgb="FF000000"/>
      <name val="Arial"/>
    </font>
    <font>
      <i/>
      <sz val="9"/>
      <color theme="1"/>
      <name val="Arial"/>
    </font>
    <font>
      <sz val="6"/>
      <color theme="1"/>
      <name val="Arial"/>
    </font>
    <font>
      <sz val="7"/>
      <color theme="1"/>
      <name val="Arial"/>
    </font>
    <font>
      <sz val="9"/>
      <color theme="0"/>
      <name val="Arial"/>
    </font>
  </fonts>
  <fills count="7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rgb="FFF8F8F8"/>
      </patternFill>
    </fill>
    <fill>
      <patternFill patternType="solid">
        <fgColor theme="3"/>
      </patternFill>
    </fill>
    <fill>
      <patternFill patternType="solid">
        <fgColor rgb="FFEAEAEA"/>
      </patternFill>
    </fill>
    <fill>
      <patternFill patternType="solid">
        <fgColor rgb="FFFEF7E6"/>
      </patternFill>
    </fill>
  </fills>
  <borders count="7">
    <border>
      <left/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/>
      <bottom style="thin">
        <color indexed="64"/>
      </bottom>
      <diagonal/>
    </border>
    <border>
      <left style="thick">
        <color rgb="FFFFFFFF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4" fillId="2" borderId="1" applyNumberFormat="0" applyProtection="0">
      <alignment horizontal="center" vertical="center" wrapText="1"/>
    </xf>
    <xf numFmtId="0" fontId="8" fillId="4" borderId="0" applyNumberFormat="0" applyAlignment="0" applyProtection="0"/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3" borderId="0" applyNumberFormat="0" applyBorder="0">
      <alignment vertical="center" shrinkToFit="1"/>
      <protection locked="0"/>
    </xf>
    <xf numFmtId="0" fontId="3" fillId="0" borderId="2" applyNumberFormat="0">
      <alignment vertical="center" wrapText="1"/>
    </xf>
    <xf numFmtId="0" fontId="6" fillId="6" borderId="3" applyNumberFormat="0">
      <alignment vertical="center" shrinkToFit="1"/>
      <protection locked="0"/>
    </xf>
    <xf numFmtId="4" fontId="6" fillId="6" borderId="3">
      <alignment vertical="center" shrinkToFit="1"/>
      <protection locked="0"/>
    </xf>
    <xf numFmtId="49" fontId="6" fillId="6" borderId="3">
      <alignment vertical="center" wrapText="1"/>
      <protection locked="0"/>
    </xf>
    <xf numFmtId="164" fontId="3" fillId="0" borderId="2" applyFont="0" applyFill="0" applyAlignment="0" applyProtection="0"/>
    <xf numFmtId="0" fontId="4" fillId="0" borderId="4" applyNumberFormat="0" applyFill="0" applyAlignment="0" applyProtection="0"/>
  </cellStyleXfs>
  <cellXfs count="31">
    <xf numFmtId="0" fontId="0" fillId="0" borderId="0" xfId="0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49" fontId="0" fillId="0" borderId="0" xfId="0" applyNumberFormat="1">
      <alignment vertical="center"/>
    </xf>
    <xf numFmtId="165" fontId="0" fillId="0" borderId="2" xfId="10" applyNumberFormat="1" applyFont="1" applyAlignment="1">
      <alignment horizontal="center" vertical="center"/>
    </xf>
    <xf numFmtId="0" fontId="9" fillId="5" borderId="5" xfId="3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6" borderId="0" xfId="5" applyNumberFormat="1" applyFont="1" applyFill="1" applyAlignment="1" applyProtection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9" fontId="11" fillId="0" borderId="0" xfId="0" applyNumberFormat="1" applyFont="1">
      <alignment vertical="center"/>
    </xf>
    <xf numFmtId="49" fontId="6" fillId="6" borderId="3" xfId="9" applyProtection="1">
      <alignment vertical="center" wrapText="1"/>
    </xf>
    <xf numFmtId="0" fontId="12" fillId="0" borderId="0" xfId="0" applyFont="1">
      <alignment vertical="center"/>
    </xf>
    <xf numFmtId="0" fontId="4" fillId="0" borderId="4" xfId="11" applyAlignment="1">
      <alignment vertical="center"/>
    </xf>
    <xf numFmtId="0" fontId="0" fillId="0" borderId="6" xfId="0" applyBorder="1">
      <alignment vertical="center"/>
    </xf>
    <xf numFmtId="166" fontId="6" fillId="6" borderId="3" xfId="7" applyNumberFormat="1" applyAlignment="1" applyProtection="1">
      <alignment horizontal="center"/>
    </xf>
    <xf numFmtId="166" fontId="12" fillId="0" borderId="0" xfId="0" applyNumberFormat="1" applyFont="1">
      <alignment vertical="center"/>
    </xf>
    <xf numFmtId="166" fontId="4" fillId="0" borderId="4" xfId="11" applyNumberFormat="1" applyAlignment="1">
      <alignment horizontal="center" vertical="center"/>
    </xf>
    <xf numFmtId="166" fontId="4" fillId="0" borderId="4" xfId="11" applyNumberFormat="1" applyAlignment="1">
      <alignment vertical="center"/>
    </xf>
    <xf numFmtId="0" fontId="13" fillId="0" borderId="0" xfId="0" applyFont="1">
      <alignment vertical="center"/>
    </xf>
    <xf numFmtId="49" fontId="0" fillId="6" borderId="0" xfId="5" applyNumberFormat="1" applyFont="1" applyFill="1" applyAlignment="1" applyProtection="1">
      <alignment vertical="center"/>
    </xf>
    <xf numFmtId="49" fontId="3" fillId="6" borderId="0" xfId="5" applyNumberFormat="1" applyFont="1" applyFill="1" applyAlignment="1" applyProtection="1">
      <alignment vertical="center"/>
    </xf>
    <xf numFmtId="49" fontId="0" fillId="6" borderId="0" xfId="5" applyNumberFormat="1" applyFont="1" applyFill="1" applyAlignment="1" applyProtection="1">
      <alignment horizontal="left" vertical="center"/>
    </xf>
    <xf numFmtId="49" fontId="3" fillId="6" borderId="0" xfId="5" applyNumberFormat="1" applyFont="1" applyFill="1" applyAlignment="1" applyProtection="1">
      <alignment horizontal="left" vertical="center"/>
    </xf>
    <xf numFmtId="49" fontId="0" fillId="6" borderId="0" xfId="5" applyNumberFormat="1" applyFont="1" applyFill="1" applyAlignment="1" applyProtection="1">
      <alignment horizontal="center" vertical="center"/>
    </xf>
    <xf numFmtId="49" fontId="3" fillId="6" borderId="0" xfId="5" applyNumberFormat="1" applyFont="1" applyFill="1" applyAlignment="1" applyProtection="1">
      <alignment horizontal="center" vertical="center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7" fillId="0" borderId="0" xfId="4" applyAlignment="1">
      <alignment horizontal="center" vertical="center"/>
    </xf>
    <xf numFmtId="0" fontId="9" fillId="5" borderId="5" xfId="3" applyFont="1" applyFill="1" applyBorder="1" applyAlignment="1">
      <alignment horizontal="center" textRotation="90" wrapText="1"/>
    </xf>
  </cellXfs>
  <cellStyles count="12">
    <cellStyle name="Beschriftung" xfId="6" xr:uid="{00000000-0005-0000-0000-000000000000}"/>
    <cellStyle name="Eingabe Betrag" xfId="8" xr:uid="{00000000-0005-0000-0000-000001000000}"/>
    <cellStyle name="Eingabe Tabelle" xfId="9" xr:uid="{00000000-0005-0000-0000-000002000000}"/>
    <cellStyle name="Eingabe Zahl" xfId="7" xr:uid="{00000000-0005-0000-0000-000003000000}"/>
    <cellStyle name="Entrée" xfId="5" xr:uid="{00000000-0005-0000-0000-000004000000}"/>
    <cellStyle name="Ergebniszeile" xfId="11" xr:uid="{00000000-0005-0000-0000-000005000000}"/>
    <cellStyle name="Normal" xfId="0" builtinId="0"/>
    <cellStyle name="Tabelle Zahl" xfId="10" xr:uid="{00000000-0005-0000-0000-000007000000}"/>
    <cellStyle name="Texte explicatif" xfId="4" xr:uid="{00000000-0005-0000-0000-000008000000}"/>
    <cellStyle name="Titre 2" xfId="1" xr:uid="{00000000-0005-0000-0000-000009000000}"/>
    <cellStyle name="Titre 3" xfId="2" xr:uid="{00000000-0005-0000-0000-00000A000000}"/>
    <cellStyle name="Titre 4" xfId="3" xr:uid="{00000000-0005-0000-0000-00000B000000}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1066800</xdr:colOff>
      <xdr:row>0</xdr:row>
      <xdr:rowOff>57150</xdr:rowOff>
    </xdr:from>
    <xdr:to>
      <xdr:col>7</xdr:col>
      <xdr:colOff>2752725</xdr:colOff>
      <xdr:row>0</xdr:row>
      <xdr:rowOff>695325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</xdr:col>
      <xdr:colOff>447676</xdr:colOff>
      <xdr:row>52</xdr:row>
      <xdr:rowOff>123826</xdr:rowOff>
    </xdr:from>
    <xdr:to>
      <xdr:col>7</xdr:col>
      <xdr:colOff>651178</xdr:colOff>
      <xdr:row>57</xdr:row>
      <xdr:rowOff>66676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C968F5A-95C5-330C-57E9-7BF29910D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1" y="10934701"/>
          <a:ext cx="130840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GIZ 2018">
      <a:dk1>
        <a:srgbClr val="000000"/>
      </a:dk1>
      <a:lt1>
        <a:srgbClr val="FFFFFF"/>
      </a:lt1>
      <a:dk2>
        <a:srgbClr val="939393"/>
      </a:dk2>
      <a:lt2>
        <a:srgbClr val="E6E6E6"/>
      </a:lt2>
      <a:accent1>
        <a:srgbClr val="C80F0F"/>
      </a:accent1>
      <a:accent2>
        <a:srgbClr val="B1E2F0"/>
      </a:accent2>
      <a:accent3>
        <a:srgbClr val="E6E6E6"/>
      </a:accent3>
      <a:accent4>
        <a:srgbClr val="FBBD2A"/>
      </a:accent4>
      <a:accent5>
        <a:srgbClr val="E57706"/>
      </a:accent5>
      <a:accent6>
        <a:srgbClr val="9C7915"/>
      </a:accent6>
      <a:hlink>
        <a:srgbClr val="C80F0F"/>
      </a:hlink>
      <a:folHlink>
        <a:srgbClr val="F25A5A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GIZ 2018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69"/>
  <sheetViews>
    <sheetView showGridLines="0" tabSelected="1" topLeftCell="A24" workbookViewId="0">
      <selection activeCell="J52" sqref="J52"/>
    </sheetView>
  </sheetViews>
  <sheetFormatPr baseColWidth="10" defaultColWidth="11.42578125" defaultRowHeight="12" x14ac:dyDescent="0.2"/>
  <cols>
    <col min="1" max="1" width="2.7109375" customWidth="1"/>
    <col min="2" max="6" width="5.7109375" customWidth="1"/>
    <col min="7" max="7" width="16.5703125" customWidth="1"/>
    <col min="8" max="8" width="52.5703125" customWidth="1"/>
  </cols>
  <sheetData>
    <row r="1" spans="2:8" ht="68.25" customHeight="1" x14ac:dyDescent="0.2">
      <c r="B1" s="27" t="s">
        <v>0</v>
      </c>
      <c r="C1" s="28"/>
      <c r="D1" s="28"/>
      <c r="E1" s="28"/>
      <c r="F1" s="28"/>
      <c r="G1" s="28"/>
      <c r="H1" s="28"/>
    </row>
    <row r="2" spans="2:8" s="1" customFormat="1" ht="5.25" x14ac:dyDescent="0.2"/>
    <row r="3" spans="2:8" x14ac:dyDescent="0.2">
      <c r="B3" t="s">
        <v>1</v>
      </c>
      <c r="C3" s="4"/>
      <c r="F3" s="23"/>
      <c r="G3" s="24"/>
    </row>
    <row r="4" spans="2:8" s="1" customFormat="1" ht="5.25" x14ac:dyDescent="0.2">
      <c r="C4" s="2"/>
      <c r="F4" s="3"/>
    </row>
    <row r="5" spans="2:8" x14ac:dyDescent="0.2">
      <c r="B5" t="s">
        <v>2</v>
      </c>
      <c r="C5" s="4"/>
      <c r="F5" s="21" t="s">
        <v>53</v>
      </c>
      <c r="G5" s="22"/>
    </row>
    <row r="6" spans="2:8" s="1" customFormat="1" ht="5.25" x14ac:dyDescent="0.2">
      <c r="C6" s="2"/>
      <c r="F6" s="2"/>
    </row>
    <row r="7" spans="2:8" x14ac:dyDescent="0.2">
      <c r="B7" t="s">
        <v>3</v>
      </c>
      <c r="C7" s="4"/>
      <c r="F7" s="21" t="s">
        <v>4</v>
      </c>
      <c r="G7" s="22"/>
      <c r="H7" s="22"/>
    </row>
    <row r="8" spans="2:8" s="1" customFormat="1" ht="5.25" x14ac:dyDescent="0.2">
      <c r="C8" s="2"/>
      <c r="F8" s="2"/>
    </row>
    <row r="9" spans="2:8" x14ac:dyDescent="0.2">
      <c r="B9" t="s">
        <v>5</v>
      </c>
      <c r="C9" s="4"/>
      <c r="F9" s="21" t="s">
        <v>54</v>
      </c>
      <c r="G9" s="22"/>
      <c r="H9" s="22"/>
    </row>
    <row r="10" spans="2:8" s="1" customFormat="1" ht="5.25" x14ac:dyDescent="0.2">
      <c r="C10" s="2"/>
      <c r="F10" s="2"/>
    </row>
    <row r="11" spans="2:8" x14ac:dyDescent="0.2">
      <c r="B11" t="s">
        <v>6</v>
      </c>
      <c r="C11" s="4"/>
      <c r="F11" s="22" t="s">
        <v>55</v>
      </c>
      <c r="G11" s="22"/>
      <c r="H11" s="22"/>
    </row>
    <row r="12" spans="2:8" s="1" customFormat="1" ht="5.25" x14ac:dyDescent="0.2">
      <c r="C12" s="2"/>
      <c r="F12" s="2"/>
    </row>
    <row r="13" spans="2:8" x14ac:dyDescent="0.2">
      <c r="B13" t="s">
        <v>7</v>
      </c>
      <c r="F13" s="21" t="s">
        <v>56</v>
      </c>
      <c r="G13" s="22"/>
      <c r="H13" s="22"/>
    </row>
    <row r="14" spans="2:8" s="1" customFormat="1" ht="5.25" x14ac:dyDescent="0.2">
      <c r="C14" s="2"/>
      <c r="F14" s="2"/>
    </row>
    <row r="15" spans="2:8" x14ac:dyDescent="0.2">
      <c r="B15" t="s">
        <v>8</v>
      </c>
      <c r="C15" s="25" t="s">
        <v>41</v>
      </c>
      <c r="D15" s="26"/>
      <c r="E15" s="26"/>
      <c r="F15" t="s">
        <v>9</v>
      </c>
      <c r="G15" s="8">
        <v>2026</v>
      </c>
    </row>
    <row r="16" spans="2:8" s="10" customFormat="1" ht="8.25" x14ac:dyDescent="0.2">
      <c r="C16" s="11"/>
      <c r="F16" s="11"/>
    </row>
    <row r="17" spans="2:15" x14ac:dyDescent="0.2">
      <c r="C17" s="29"/>
      <c r="D17" s="29"/>
      <c r="E17" s="29"/>
      <c r="F17" s="29"/>
    </row>
    <row r="18" spans="2:15" s="1" customFormat="1" ht="5.25" x14ac:dyDescent="0.2">
      <c r="C18" s="2"/>
      <c r="F18" s="2"/>
    </row>
    <row r="19" spans="2:15" ht="111.75" customHeight="1" x14ac:dyDescent="0.2">
      <c r="B19" s="30" t="s">
        <v>10</v>
      </c>
      <c r="C19" s="30" t="s">
        <v>11</v>
      </c>
      <c r="D19" s="30" t="s">
        <v>12</v>
      </c>
      <c r="E19" s="30" t="s">
        <v>13</v>
      </c>
      <c r="F19" s="30" t="s">
        <v>14</v>
      </c>
      <c r="G19" s="6" t="s">
        <v>15</v>
      </c>
      <c r="H19" s="6" t="s">
        <v>16</v>
      </c>
    </row>
    <row r="20" spans="2:15" x14ac:dyDescent="0.2">
      <c r="B20" s="5">
        <v>1</v>
      </c>
      <c r="C20" s="16"/>
      <c r="D20" s="16"/>
      <c r="E20" s="16"/>
      <c r="F20" s="16"/>
      <c r="G20" s="12"/>
      <c r="H20" s="12"/>
    </row>
    <row r="21" spans="2:15" x14ac:dyDescent="0.2">
      <c r="B21" s="5">
        <v>2</v>
      </c>
      <c r="C21" s="16"/>
      <c r="D21" s="16"/>
      <c r="E21" s="16"/>
      <c r="F21" s="16"/>
      <c r="G21" s="12"/>
      <c r="H21" s="12"/>
    </row>
    <row r="22" spans="2:15" x14ac:dyDescent="0.2">
      <c r="B22" s="5">
        <v>3</v>
      </c>
      <c r="C22" s="16"/>
      <c r="D22" s="16"/>
      <c r="E22" s="16"/>
      <c r="F22" s="16"/>
      <c r="G22" s="12"/>
      <c r="H22" s="12"/>
      <c r="O22" s="20">
        <v>0.5</v>
      </c>
    </row>
    <row r="23" spans="2:15" x14ac:dyDescent="0.2">
      <c r="B23" s="5">
        <v>4</v>
      </c>
      <c r="C23" s="16"/>
      <c r="D23" s="16"/>
      <c r="E23" s="16"/>
      <c r="F23" s="16"/>
      <c r="G23" s="12"/>
      <c r="H23" s="12"/>
      <c r="O23" s="20">
        <v>1</v>
      </c>
    </row>
    <row r="24" spans="2:15" x14ac:dyDescent="0.2">
      <c r="B24" s="5">
        <v>5</v>
      </c>
      <c r="C24" s="16"/>
      <c r="D24" s="16"/>
      <c r="E24" s="16"/>
      <c r="F24" s="16"/>
      <c r="G24" s="12"/>
      <c r="H24" s="12"/>
    </row>
    <row r="25" spans="2:15" x14ac:dyDescent="0.2">
      <c r="B25" s="5">
        <v>6</v>
      </c>
      <c r="C25" s="16"/>
      <c r="D25" s="16"/>
      <c r="E25" s="16"/>
      <c r="F25" s="16"/>
      <c r="G25" s="12"/>
      <c r="H25" s="12"/>
    </row>
    <row r="26" spans="2:15" x14ac:dyDescent="0.2">
      <c r="B26" s="5">
        <v>7</v>
      </c>
      <c r="C26" s="16"/>
      <c r="D26" s="16"/>
      <c r="E26" s="16"/>
      <c r="F26" s="16"/>
      <c r="G26" s="12"/>
      <c r="H26" s="12"/>
    </row>
    <row r="27" spans="2:15" x14ac:dyDescent="0.2">
      <c r="B27" s="5">
        <v>8</v>
      </c>
      <c r="C27" s="16"/>
      <c r="D27" s="16"/>
      <c r="E27" s="16"/>
      <c r="F27" s="16"/>
      <c r="G27" s="12"/>
      <c r="H27" s="12"/>
    </row>
    <row r="28" spans="2:15" x14ac:dyDescent="0.2">
      <c r="B28" s="5">
        <v>9</v>
      </c>
      <c r="C28" s="16"/>
      <c r="D28" s="16"/>
      <c r="E28" s="16"/>
      <c r="F28" s="16"/>
      <c r="G28" s="12"/>
      <c r="H28" s="12"/>
    </row>
    <row r="29" spans="2:15" x14ac:dyDescent="0.2">
      <c r="B29" s="5">
        <v>10</v>
      </c>
      <c r="C29" s="16"/>
      <c r="D29" s="16"/>
      <c r="E29" s="16"/>
      <c r="F29" s="16"/>
      <c r="G29" s="12"/>
      <c r="H29" s="12"/>
    </row>
    <row r="30" spans="2:15" x14ac:dyDescent="0.2">
      <c r="B30" s="5">
        <v>11</v>
      </c>
      <c r="C30" s="16"/>
      <c r="D30" s="16"/>
      <c r="E30" s="16"/>
      <c r="F30" s="16"/>
      <c r="G30" s="12"/>
      <c r="H30" s="12"/>
    </row>
    <row r="31" spans="2:15" x14ac:dyDescent="0.2">
      <c r="B31" s="5">
        <v>12</v>
      </c>
      <c r="C31" s="16"/>
      <c r="D31" s="16"/>
      <c r="E31" s="16"/>
      <c r="F31" s="16"/>
      <c r="G31" s="12"/>
      <c r="H31" s="12"/>
    </row>
    <row r="32" spans="2:15" ht="24" x14ac:dyDescent="0.2">
      <c r="B32" s="5">
        <v>13</v>
      </c>
      <c r="C32" s="16">
        <v>1</v>
      </c>
      <c r="D32" s="16"/>
      <c r="E32" s="16"/>
      <c r="F32" s="16"/>
      <c r="G32" s="12" t="s">
        <v>57</v>
      </c>
      <c r="H32" s="12" t="s">
        <v>58</v>
      </c>
    </row>
    <row r="33" spans="2:8" ht="24" x14ac:dyDescent="0.2">
      <c r="B33" s="5">
        <v>14</v>
      </c>
      <c r="C33" s="16">
        <v>0.5</v>
      </c>
      <c r="D33" s="16"/>
      <c r="E33" s="16"/>
      <c r="F33" s="16"/>
      <c r="G33" s="12" t="s">
        <v>59</v>
      </c>
      <c r="H33" s="12" t="s">
        <v>60</v>
      </c>
    </row>
    <row r="34" spans="2:8" x14ac:dyDescent="0.2">
      <c r="B34" s="5">
        <v>15</v>
      </c>
      <c r="C34" s="16">
        <v>1</v>
      </c>
      <c r="D34" s="16"/>
      <c r="E34" s="16"/>
      <c r="F34" s="16"/>
      <c r="G34" s="12" t="s">
        <v>59</v>
      </c>
      <c r="H34" s="12" t="s">
        <v>61</v>
      </c>
    </row>
    <row r="35" spans="2:8" x14ac:dyDescent="0.2">
      <c r="B35" s="5">
        <v>16</v>
      </c>
      <c r="C35" s="16"/>
      <c r="D35" s="16"/>
      <c r="E35" s="16"/>
      <c r="F35" s="16"/>
      <c r="G35" s="12"/>
      <c r="H35" s="12"/>
    </row>
    <row r="36" spans="2:8" ht="24" x14ac:dyDescent="0.2">
      <c r="B36" s="5">
        <v>17</v>
      </c>
      <c r="C36" s="16">
        <v>1</v>
      </c>
      <c r="D36" s="16"/>
      <c r="E36" s="16"/>
      <c r="F36" s="16"/>
      <c r="G36" s="12" t="s">
        <v>59</v>
      </c>
      <c r="H36" s="12" t="s">
        <v>62</v>
      </c>
    </row>
    <row r="37" spans="2:8" x14ac:dyDescent="0.2">
      <c r="B37" s="5">
        <v>18</v>
      </c>
      <c r="C37" s="16"/>
      <c r="D37" s="16"/>
      <c r="E37" s="16"/>
      <c r="F37" s="16"/>
      <c r="G37" s="12"/>
      <c r="H37" s="12"/>
    </row>
    <row r="38" spans="2:8" x14ac:dyDescent="0.2">
      <c r="B38" s="5">
        <v>19</v>
      </c>
      <c r="C38" s="16"/>
      <c r="D38" s="16"/>
      <c r="E38" s="16"/>
      <c r="F38" s="16"/>
      <c r="G38" s="12"/>
      <c r="H38" s="12"/>
    </row>
    <row r="39" spans="2:8" ht="24" x14ac:dyDescent="0.2">
      <c r="B39" s="5">
        <v>20</v>
      </c>
      <c r="C39" s="16">
        <v>1</v>
      </c>
      <c r="D39" s="16"/>
      <c r="E39" s="16"/>
      <c r="F39" s="16"/>
      <c r="G39" s="12" t="s">
        <v>59</v>
      </c>
      <c r="H39" s="12" t="s">
        <v>63</v>
      </c>
    </row>
    <row r="40" spans="2:8" ht="24" x14ac:dyDescent="0.2">
      <c r="B40" s="5">
        <v>21</v>
      </c>
      <c r="C40" s="16">
        <v>1</v>
      </c>
      <c r="D40" s="16"/>
      <c r="E40" s="16"/>
      <c r="F40" s="16"/>
      <c r="G40" s="12" t="s">
        <v>59</v>
      </c>
      <c r="H40" s="12" t="s">
        <v>64</v>
      </c>
    </row>
    <row r="41" spans="2:8" ht="24" x14ac:dyDescent="0.2">
      <c r="B41" s="5">
        <v>22</v>
      </c>
      <c r="C41" s="16">
        <v>1</v>
      </c>
      <c r="D41" s="16"/>
      <c r="E41" s="16"/>
      <c r="F41" s="16"/>
      <c r="G41" s="12" t="s">
        <v>59</v>
      </c>
      <c r="H41" s="12" t="s">
        <v>65</v>
      </c>
    </row>
    <row r="42" spans="2:8" x14ac:dyDescent="0.2">
      <c r="B42" s="5">
        <v>23</v>
      </c>
      <c r="C42" s="16"/>
      <c r="D42" s="16"/>
      <c r="E42" s="16"/>
      <c r="F42" s="16"/>
      <c r="G42" s="12"/>
      <c r="H42" s="12"/>
    </row>
    <row r="43" spans="2:8" ht="24" x14ac:dyDescent="0.2">
      <c r="B43" s="5">
        <v>24</v>
      </c>
      <c r="C43" s="16">
        <v>1</v>
      </c>
      <c r="D43" s="16"/>
      <c r="E43" s="16"/>
      <c r="F43" s="16"/>
      <c r="G43" s="12" t="s">
        <v>57</v>
      </c>
      <c r="H43" s="12" t="s">
        <v>66</v>
      </c>
    </row>
    <row r="44" spans="2:8" x14ac:dyDescent="0.2">
      <c r="B44" s="5">
        <v>25</v>
      </c>
      <c r="C44" s="16"/>
      <c r="D44" s="16"/>
      <c r="E44" s="16"/>
      <c r="F44" s="16"/>
      <c r="G44" s="12"/>
      <c r="H44" s="12"/>
    </row>
    <row r="45" spans="2:8" x14ac:dyDescent="0.2">
      <c r="B45" s="5">
        <v>26</v>
      </c>
      <c r="C45" s="16"/>
      <c r="D45" s="16"/>
      <c r="E45" s="16"/>
      <c r="F45" s="16"/>
      <c r="G45" s="12"/>
      <c r="H45" s="12"/>
    </row>
    <row r="46" spans="2:8" ht="24" x14ac:dyDescent="0.2">
      <c r="B46" s="5">
        <v>27</v>
      </c>
      <c r="C46" s="16">
        <v>1</v>
      </c>
      <c r="D46" s="16"/>
      <c r="E46" s="16"/>
      <c r="F46" s="16"/>
      <c r="G46" s="12" t="s">
        <v>59</v>
      </c>
      <c r="H46" s="12" t="s">
        <v>67</v>
      </c>
    </row>
    <row r="47" spans="2:8" ht="24" x14ac:dyDescent="0.2">
      <c r="B47" s="5">
        <v>28</v>
      </c>
      <c r="C47" s="16">
        <v>1</v>
      </c>
      <c r="D47" s="16"/>
      <c r="E47" s="16"/>
      <c r="F47" s="16"/>
      <c r="G47" s="12" t="s">
        <v>59</v>
      </c>
      <c r="H47" s="12" t="s">
        <v>68</v>
      </c>
    </row>
    <row r="48" spans="2:8" x14ac:dyDescent="0.2">
      <c r="B48" s="5">
        <v>29</v>
      </c>
      <c r="C48" s="16"/>
      <c r="D48" s="16"/>
      <c r="E48" s="16"/>
      <c r="F48" s="16"/>
      <c r="G48" s="12"/>
      <c r="H48" s="12"/>
    </row>
    <row r="49" spans="2:8" ht="24" x14ac:dyDescent="0.2">
      <c r="B49" s="5">
        <v>30</v>
      </c>
      <c r="C49" s="16">
        <v>1</v>
      </c>
      <c r="D49" s="16"/>
      <c r="E49" s="16"/>
      <c r="F49" s="16"/>
      <c r="G49" s="12" t="s">
        <v>59</v>
      </c>
      <c r="H49" s="12" t="s">
        <v>69</v>
      </c>
    </row>
    <row r="50" spans="2:8" ht="24" x14ac:dyDescent="0.2">
      <c r="B50" s="5">
        <v>31</v>
      </c>
      <c r="C50" s="16">
        <v>1</v>
      </c>
      <c r="D50" s="16"/>
      <c r="E50" s="16"/>
      <c r="F50" s="16"/>
      <c r="G50" s="12" t="s">
        <v>59</v>
      </c>
      <c r="H50" s="12" t="s">
        <v>70</v>
      </c>
    </row>
    <row r="51" spans="2:8" s="13" customFormat="1" ht="9" x14ac:dyDescent="0.2">
      <c r="C51" s="17"/>
      <c r="D51" s="17"/>
      <c r="E51" s="17"/>
      <c r="F51" s="17"/>
    </row>
    <row r="52" spans="2:8" x14ac:dyDescent="0.2">
      <c r="B52" s="14" t="s">
        <v>17</v>
      </c>
      <c r="C52" s="18">
        <f>SUM(C20:C50)</f>
        <v>11.5</v>
      </c>
      <c r="D52" s="19" t="str">
        <f>IFERROR("Fachkrafttage (FKT) im "&amp;TEXT(DATEVALUE("1 "&amp;C15&amp;" "&amp;G15),"MMMM JJJJ"),"")</f>
        <v>Fachkrafttage (FKT) im juillet mercredi</v>
      </c>
      <c r="E52" s="19"/>
      <c r="F52" s="19"/>
      <c r="G52" s="14"/>
      <c r="H52" s="14"/>
    </row>
    <row r="54" spans="2:8" x14ac:dyDescent="0.2">
      <c r="B54" t="s">
        <v>18</v>
      </c>
    </row>
    <row r="55" spans="2:8" ht="15.75" customHeight="1" x14ac:dyDescent="0.2">
      <c r="B55" s="24" t="s">
        <v>71</v>
      </c>
      <c r="C55" s="24"/>
      <c r="D55" s="24"/>
      <c r="E55" s="24"/>
      <c r="F55" s="24"/>
      <c r="G55" s="24"/>
      <c r="H55" s="24"/>
    </row>
    <row r="56" spans="2:8" x14ac:dyDescent="0.2">
      <c r="B56" s="9" t="s">
        <v>19</v>
      </c>
    </row>
    <row r="57" spans="2:8" ht="12.95" customHeight="1" x14ac:dyDescent="0.2">
      <c r="B57" s="9"/>
    </row>
    <row r="58" spans="2:8" ht="15.75" customHeight="1" x14ac:dyDescent="0.2">
      <c r="B58" s="24"/>
      <c r="C58" s="24"/>
      <c r="D58" s="24"/>
      <c r="E58" s="24"/>
      <c r="F58" s="24"/>
      <c r="G58" s="24"/>
      <c r="H58" s="24"/>
    </row>
    <row r="59" spans="2:8" x14ac:dyDescent="0.2">
      <c r="B59" s="9" t="s">
        <v>20</v>
      </c>
    </row>
    <row r="60" spans="2:8" x14ac:dyDescent="0.2">
      <c r="B60" s="9"/>
    </row>
    <row r="63" spans="2:8" x14ac:dyDescent="0.2">
      <c r="B63" s="9"/>
    </row>
    <row r="64" spans="2:8" x14ac:dyDescent="0.2">
      <c r="B64" s="9"/>
    </row>
    <row r="65" spans="2:2" x14ac:dyDescent="0.2">
      <c r="B65" s="7" t="s">
        <v>21</v>
      </c>
    </row>
    <row r="66" spans="2:2" x14ac:dyDescent="0.2">
      <c r="B66" t="s">
        <v>22</v>
      </c>
    </row>
    <row r="67" spans="2:2" x14ac:dyDescent="0.2">
      <c r="B67" t="s">
        <v>23</v>
      </c>
    </row>
    <row r="68" spans="2:2" x14ac:dyDescent="0.2">
      <c r="B68" t="s">
        <v>24</v>
      </c>
    </row>
    <row r="69" spans="2:2" x14ac:dyDescent="0.2">
      <c r="B69" t="s">
        <v>25</v>
      </c>
    </row>
  </sheetData>
  <mergeCells count="11">
    <mergeCell ref="F5:G5"/>
    <mergeCell ref="F3:G3"/>
    <mergeCell ref="C15:E15"/>
    <mergeCell ref="B1:H1"/>
    <mergeCell ref="B58:H58"/>
    <mergeCell ref="C17:F17"/>
    <mergeCell ref="F7:H7"/>
    <mergeCell ref="F9:H9"/>
    <mergeCell ref="F11:H11"/>
    <mergeCell ref="F13:H13"/>
    <mergeCell ref="B55:H55"/>
  </mergeCells>
  <conditionalFormatting sqref="B48:B50 G48:H50">
    <cfRule type="expression" dxfId="0" priority="1">
      <formula>AnzTage&lt;$B48</formula>
    </cfRule>
  </conditionalFormatting>
  <dataValidations count="4">
    <dataValidation type="list" allowBlank="1" showInputMessage="1" showErrorMessage="1" sqref="C15:E15" xr:uid="{00000000-0002-0000-0000-000000000000}">
      <formula1>Monate</formula1>
    </dataValidation>
    <dataValidation type="list" errorStyle="warning" allowBlank="1" showInputMessage="1" showErrorMessage="1" error="Bitte eine korrekte Jahreszahl eingeben _x000a_(z.B. 20 oder 2020)" sqref="G15" xr:uid="{00000000-0002-0000-0000-000001000000}">
      <formula1>Jahre</formula1>
    </dataValidation>
    <dataValidation type="list" allowBlank="1" showInputMessage="1" showErrorMessage="1" sqref="C20:C50" xr:uid="{00000000-0002-0000-0000-000002000000}">
      <formula1>$O$22:$O$23</formula1>
    </dataValidation>
    <dataValidation type="list" allowBlank="1" showInputMessage="1" showErrorMessage="1" sqref="D20:F50" xr:uid="{00000000-0002-0000-0000-000003000000}">
      <formula1>"x"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G20"/>
  <sheetViews>
    <sheetView workbookViewId="0"/>
  </sheetViews>
  <sheetFormatPr baseColWidth="10" defaultColWidth="11.42578125" defaultRowHeight="12" x14ac:dyDescent="0.2"/>
  <sheetData>
    <row r="4" spans="3:7" x14ac:dyDescent="0.2">
      <c r="C4" s="7" t="s">
        <v>26</v>
      </c>
      <c r="E4" s="7" t="s">
        <v>27</v>
      </c>
      <c r="G4" s="7" t="s">
        <v>28</v>
      </c>
    </row>
    <row r="5" spans="3:7" x14ac:dyDescent="0.2">
      <c r="C5" t="s">
        <v>29</v>
      </c>
      <c r="E5" t="s">
        <v>29</v>
      </c>
      <c r="G5">
        <f>IFERROR(DATEVALUE("1 "&amp;G8&amp;" "&amp;'Fiche de présence'!G15),0)</f>
        <v>0</v>
      </c>
    </row>
    <row r="6" spans="3:7" x14ac:dyDescent="0.2">
      <c r="C6" t="s">
        <v>30</v>
      </c>
      <c r="D6" t="s">
        <v>31</v>
      </c>
      <c r="E6">
        <f t="shared" ref="E6:E9" ca="1" si="0">E7-1</f>
        <v>2022</v>
      </c>
      <c r="G6" s="15">
        <f>IFERROR(DAY(DATE(YEAR(G5),MONTH(G5)+1,0)),31)</f>
        <v>31</v>
      </c>
    </row>
    <row r="7" spans="3:7" x14ac:dyDescent="0.2">
      <c r="C7" t="s">
        <v>32</v>
      </c>
      <c r="D7" t="s">
        <v>33</v>
      </c>
      <c r="E7">
        <f t="shared" ca="1" si="0"/>
        <v>2023</v>
      </c>
      <c r="G7" s="4" t="str">
        <f>'Fiche de présence'!C15</f>
        <v>Juillet</v>
      </c>
    </row>
    <row r="8" spans="3:7" x14ac:dyDescent="0.2">
      <c r="C8" t="s">
        <v>34</v>
      </c>
      <c r="D8" t="s">
        <v>35</v>
      </c>
      <c r="E8">
        <f t="shared" ca="1" si="0"/>
        <v>2024</v>
      </c>
      <c r="G8" t="str">
        <f>VLOOKUP(G7,Listen!C5:D16,2,FALSE)</f>
        <v>Juli</v>
      </c>
    </row>
    <row r="9" spans="3:7" x14ac:dyDescent="0.2">
      <c r="C9" t="s">
        <v>36</v>
      </c>
      <c r="D9" t="s">
        <v>37</v>
      </c>
      <c r="E9">
        <f t="shared" ca="1" si="0"/>
        <v>2025</v>
      </c>
    </row>
    <row r="10" spans="3:7" x14ac:dyDescent="0.2">
      <c r="C10" t="s">
        <v>38</v>
      </c>
      <c r="D10" t="s">
        <v>38</v>
      </c>
      <c r="E10" s="7">
        <f t="shared" ref="E10" ca="1" si="1">YEAR(TODAY())</f>
        <v>2026</v>
      </c>
    </row>
    <row r="11" spans="3:7" x14ac:dyDescent="0.2">
      <c r="C11" t="s">
        <v>39</v>
      </c>
      <c r="D11" t="s">
        <v>40</v>
      </c>
      <c r="E11">
        <f ca="1">E10+1</f>
        <v>2027</v>
      </c>
    </row>
    <row r="12" spans="3:7" x14ac:dyDescent="0.2">
      <c r="C12" t="s">
        <v>41</v>
      </c>
      <c r="D12" t="s">
        <v>42</v>
      </c>
      <c r="E12">
        <f ca="1">E11+1</f>
        <v>2028</v>
      </c>
    </row>
    <row r="13" spans="3:7" x14ac:dyDescent="0.2">
      <c r="C13" t="s">
        <v>43</v>
      </c>
      <c r="D13" t="s">
        <v>44</v>
      </c>
      <c r="E13">
        <f t="shared" ref="E13:E20" ca="1" si="2">E12+1</f>
        <v>2029</v>
      </c>
    </row>
    <row r="14" spans="3:7" x14ac:dyDescent="0.2">
      <c r="C14" t="s">
        <v>45</v>
      </c>
      <c r="D14" t="s">
        <v>46</v>
      </c>
      <c r="E14">
        <f t="shared" ca="1" si="2"/>
        <v>2030</v>
      </c>
    </row>
    <row r="15" spans="3:7" x14ac:dyDescent="0.2">
      <c r="C15" t="s">
        <v>47</v>
      </c>
      <c r="D15" t="s">
        <v>48</v>
      </c>
      <c r="E15">
        <f t="shared" ca="1" si="2"/>
        <v>2031</v>
      </c>
    </row>
    <row r="16" spans="3:7" x14ac:dyDescent="0.2">
      <c r="C16" t="s">
        <v>49</v>
      </c>
      <c r="D16" t="s">
        <v>50</v>
      </c>
      <c r="E16">
        <f t="shared" ca="1" si="2"/>
        <v>2032</v>
      </c>
    </row>
    <row r="17" spans="3:5" x14ac:dyDescent="0.2">
      <c r="C17" t="s">
        <v>51</v>
      </c>
      <c r="D17" t="s">
        <v>52</v>
      </c>
      <c r="E17">
        <f t="shared" ca="1" si="2"/>
        <v>2033</v>
      </c>
    </row>
    <row r="18" spans="3:5" x14ac:dyDescent="0.2">
      <c r="E18">
        <f t="shared" ca="1" si="2"/>
        <v>2034</v>
      </c>
    </row>
    <row r="19" spans="3:5" x14ac:dyDescent="0.2">
      <c r="E19">
        <f ca="1">E18+1</f>
        <v>2035</v>
      </c>
    </row>
    <row r="20" spans="3:5" x14ac:dyDescent="0.2">
      <c r="E20">
        <f t="shared" ca="1" si="2"/>
        <v>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</vt:i4>
      </vt:variant>
    </vt:vector>
  </HeadingPairs>
  <TitlesOfParts>
    <vt:vector size="5" baseType="lpstr">
      <vt:lpstr>Fiche de présence</vt:lpstr>
      <vt:lpstr>Listen</vt:lpstr>
      <vt:lpstr>AnzTage</vt:lpstr>
      <vt:lpstr>Jahre</vt:lpstr>
      <vt:lpstr>Monate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Wolverine</cp:lastModifiedBy>
  <dcterms:modified xsi:type="dcterms:W3CDTF">2026-09-02T02:36:26Z</dcterms:modified>
</cp:coreProperties>
</file>